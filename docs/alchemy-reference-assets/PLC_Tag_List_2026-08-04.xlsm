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uke/Desktop/"/>
    </mc:Choice>
  </mc:AlternateContent>
  <xr:revisionPtr revIDLastSave="0" documentId="8_{0A7CBB22-3739-234F-9B5F-0CA8B8B025BD}" xr6:coauthVersionLast="47" xr6:coauthVersionMax="47" xr10:uidLastSave="{00000000-0000-0000-0000-000000000000}"/>
  <bookViews>
    <workbookView xWindow="0" yWindow="680" windowWidth="29400" windowHeight="18440" activeTab="1" xr2:uid="{00000000-000D-0000-FFFF-FFFF00000000}"/>
  </bookViews>
  <sheets>
    <sheet name="HowTo" sheetId="3" r:id="rId1"/>
    <sheet name="Location_1" sheetId="1" r:id="rId2"/>
    <sheet name="Data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1" l="1" a="1"/>
  <c r="M8" i="1" s="1"/>
  <c r="M9" i="1" a="1"/>
  <c r="M9" i="1" s="1"/>
  <c r="M10" i="1" a="1"/>
  <c r="M10" i="1" s="1"/>
  <c r="M11" i="1" a="1"/>
  <c r="M11" i="1"/>
  <c r="M12" i="1" a="1"/>
  <c r="M12" i="1" s="1"/>
  <c r="M13" i="1" a="1"/>
  <c r="M13" i="1"/>
  <c r="M14" i="1" a="1"/>
  <c r="M14" i="1"/>
  <c r="M15" i="1" a="1"/>
  <c r="M15" i="1"/>
  <c r="M16" i="1" a="1"/>
  <c r="M16" i="1" s="1"/>
  <c r="M17" i="1" a="1"/>
  <c r="M17" i="1" s="1"/>
  <c r="M18" i="1" a="1"/>
  <c r="M18" i="1" s="1"/>
  <c r="M19" i="1" a="1"/>
  <c r="M19" i="1"/>
  <c r="M20" i="1" a="1"/>
  <c r="M20" i="1"/>
  <c r="M21" i="1" a="1"/>
  <c r="M21" i="1"/>
  <c r="M22" i="1" a="1"/>
  <c r="M22" i="1"/>
  <c r="M23" i="1" a="1"/>
  <c r="M23" i="1"/>
  <c r="M24" i="1" a="1"/>
  <c r="M24" i="1" s="1"/>
  <c r="M25" i="1" a="1"/>
  <c r="M25" i="1" s="1"/>
  <c r="M26" i="1" a="1"/>
  <c r="M26" i="1" s="1"/>
  <c r="M27" i="1" a="1"/>
  <c r="M27" i="1"/>
  <c r="M28" i="1" a="1"/>
  <c r="M28" i="1"/>
  <c r="M29" i="1" a="1"/>
  <c r="M29" i="1"/>
  <c r="M30" i="1" a="1"/>
  <c r="M30" i="1"/>
  <c r="M31" i="1" a="1"/>
  <c r="M31" i="1"/>
  <c r="M32" i="1" a="1"/>
  <c r="M32" i="1" s="1"/>
  <c r="M33" i="1" a="1"/>
  <c r="M33" i="1" s="1"/>
  <c r="M34" i="1" a="1"/>
  <c r="M34" i="1" s="1"/>
  <c r="M35" i="1" a="1"/>
  <c r="M35" i="1"/>
  <c r="M36" i="1" a="1"/>
  <c r="M36" i="1"/>
  <c r="M37" i="1" a="1"/>
  <c r="M37" i="1"/>
  <c r="M38" i="1" a="1"/>
  <c r="M38" i="1"/>
  <c r="M39" i="1" a="1"/>
  <c r="M39" i="1"/>
  <c r="M40" i="1" a="1"/>
  <c r="M40" i="1" s="1"/>
  <c r="M41" i="1" a="1"/>
  <c r="M41" i="1" s="1"/>
  <c r="M42" i="1" a="1"/>
  <c r="M42" i="1" s="1"/>
  <c r="M43" i="1" a="1"/>
  <c r="M43" i="1"/>
  <c r="M44" i="1" a="1"/>
  <c r="M44" i="1"/>
  <c r="M45" i="1" a="1"/>
  <c r="M45" i="1"/>
  <c r="M46" i="1" a="1"/>
  <c r="M46" i="1"/>
  <c r="M47" i="1" a="1"/>
  <c r="M47" i="1"/>
  <c r="M48" i="1" a="1"/>
  <c r="M48" i="1" s="1"/>
  <c r="M49" i="1" a="1"/>
  <c r="M49" i="1" s="1"/>
  <c r="M50" i="1" a="1"/>
  <c r="M50" i="1" s="1"/>
  <c r="M51" i="1" a="1"/>
  <c r="M51" i="1"/>
  <c r="M52" i="1" a="1"/>
  <c r="M52" i="1"/>
  <c r="M53" i="1" a="1"/>
  <c r="M53" i="1"/>
  <c r="M54" i="1" a="1"/>
  <c r="M54" i="1"/>
  <c r="M55" i="1" a="1"/>
  <c r="M55" i="1"/>
  <c r="M56" i="1" a="1"/>
  <c r="M56" i="1" s="1"/>
  <c r="M57" i="1" a="1"/>
  <c r="M57" i="1" s="1"/>
  <c r="M58" i="1" a="1"/>
  <c r="M58" i="1" s="1"/>
  <c r="M59" i="1" a="1"/>
  <c r="M59" i="1"/>
  <c r="M60" i="1" a="1"/>
  <c r="M60" i="1"/>
  <c r="M61" i="1" a="1"/>
  <c r="M61" i="1" s="1"/>
  <c r="M62" i="1" a="1"/>
  <c r="M62" i="1"/>
  <c r="M63" i="1" a="1"/>
  <c r="M63" i="1"/>
  <c r="M64" i="1" a="1"/>
  <c r="M64" i="1" s="1"/>
  <c r="M65" i="1" a="1"/>
  <c r="M65" i="1" s="1"/>
  <c r="M66" i="1" a="1"/>
  <c r="M66" i="1" s="1"/>
  <c r="M67" i="1" a="1"/>
  <c r="M67" i="1"/>
  <c r="M68" i="1" a="1"/>
  <c r="M68" i="1" s="1"/>
  <c r="M69" i="1" a="1"/>
  <c r="M69" i="1" s="1"/>
  <c r="M70" i="1" a="1"/>
  <c r="M70" i="1"/>
  <c r="M71" i="1" a="1"/>
  <c r="M71" i="1" s="1"/>
  <c r="M72" i="1" a="1"/>
  <c r="M72" i="1" s="1"/>
  <c r="M73" i="1" a="1"/>
  <c r="M73" i="1" s="1"/>
  <c r="M74" i="1" a="1"/>
  <c r="M74" i="1" s="1"/>
  <c r="M75" i="1" a="1"/>
  <c r="M75" i="1"/>
  <c r="M76" i="1" a="1"/>
  <c r="M76" i="1"/>
  <c r="M77" i="1" a="1"/>
  <c r="M77" i="1" s="1"/>
  <c r="M78" i="1" a="1"/>
  <c r="M78" i="1"/>
  <c r="M79" i="1" a="1"/>
  <c r="M79" i="1" s="1"/>
  <c r="M80" i="1" a="1"/>
  <c r="M80" i="1" s="1"/>
  <c r="M81" i="1" a="1"/>
  <c r="M81" i="1" s="1"/>
  <c r="M82" i="1" a="1"/>
  <c r="M82" i="1" s="1"/>
  <c r="M83" i="1" a="1"/>
  <c r="M83" i="1" s="1"/>
  <c r="M84" i="1" a="1"/>
  <c r="M84" i="1"/>
  <c r="M85" i="1" a="1"/>
  <c r="M85" i="1" s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2" i="1"/>
  <c r="F11" i="1"/>
  <c r="F10" i="1"/>
  <c r="F9" i="1"/>
  <c r="F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<sst xmlns="http://schemas.openxmlformats.org/spreadsheetml/2006/main" count="437" uniqueCount="150">
  <si>
    <t>Ethernet</t>
  </si>
  <si>
    <t>192.168.0.5</t>
  </si>
  <si>
    <t>Modbus TCP Port</t>
  </si>
  <si>
    <t>Tag Name</t>
  </si>
  <si>
    <t>Data Type</t>
  </si>
  <si>
    <t>Modbus Register</t>
  </si>
  <si>
    <t>Scaling</t>
  </si>
  <si>
    <t>Read/Write</t>
  </si>
  <si>
    <t>Alarm</t>
  </si>
  <si>
    <t>History</t>
  </si>
  <si>
    <t>Display</t>
  </si>
  <si>
    <t>Example Value</t>
  </si>
  <si>
    <t>Boolean</t>
  </si>
  <si>
    <t>Read Only</t>
  </si>
  <si>
    <t>Description</t>
  </si>
  <si>
    <t>PLC Name</t>
  </si>
  <si>
    <t>Communication Mode</t>
  </si>
  <si>
    <t>PLC Tag</t>
  </si>
  <si>
    <t>IP Address</t>
  </si>
  <si>
    <t>Parameter</t>
  </si>
  <si>
    <t>Value</t>
  </si>
  <si>
    <t>Formatted Tag Name</t>
  </si>
  <si>
    <t>Boolean datatype works on Micrologix and Micro800 series</t>
  </si>
  <si>
    <t>107</t>
  </si>
  <si>
    <t>255</t>
  </si>
  <si>
    <t>0</t>
  </si>
  <si>
    <t>1</t>
  </si>
  <si>
    <t>102</t>
  </si>
  <si>
    <t>4</t>
  </si>
  <si>
    <t>8</t>
  </si>
  <si>
    <t>32</t>
  </si>
  <si>
    <t>Ignition Data Type</t>
  </si>
  <si>
    <t>0035</t>
  </si>
  <si>
    <t>PLC Data Type</t>
  </si>
  <si>
    <t>Modbus Use Case</t>
  </si>
  <si>
    <r>
      <t xml:space="preserve">32 Bit Signed Integer, </t>
    </r>
    <r>
      <rPr>
        <b/>
        <sz val="11"/>
        <color rgb="FF000000"/>
        <rFont val="Aptos"/>
        <family val="2"/>
      </rPr>
      <t>without</t>
    </r>
    <r>
      <rPr>
        <sz val="11"/>
        <color rgb="FF000000"/>
        <rFont val="Aptos"/>
        <family val="2"/>
      </rPr>
      <t xml:space="preserve"> byte swap</t>
    </r>
  </si>
  <si>
    <r>
      <t xml:space="preserve">32 Bit Signed Integer, </t>
    </r>
    <r>
      <rPr>
        <b/>
        <sz val="11"/>
        <color rgb="FF000000"/>
        <rFont val="Aptos"/>
        <family val="2"/>
      </rPr>
      <t>with</t>
    </r>
    <r>
      <rPr>
        <sz val="11"/>
        <color rgb="FF000000"/>
        <rFont val="Aptos"/>
        <family val="2"/>
      </rPr>
      <t xml:space="preserve"> byte swap.</t>
    </r>
  </si>
  <si>
    <r>
      <t xml:space="preserve">32 Bit Unsigned Integer, </t>
    </r>
    <r>
      <rPr>
        <b/>
        <sz val="11"/>
        <color rgb="FF000000"/>
        <rFont val="Aptos"/>
        <family val="2"/>
      </rPr>
      <t>without</t>
    </r>
    <r>
      <rPr>
        <sz val="11"/>
        <color rgb="FF000000"/>
        <rFont val="Aptos"/>
        <family val="2"/>
      </rPr>
      <t xml:space="preserve"> byte swap</t>
    </r>
  </si>
  <si>
    <r>
      <t xml:space="preserve">32 Bit Floating Point, </t>
    </r>
    <r>
      <rPr>
        <b/>
        <sz val="11"/>
        <color rgb="FF000000"/>
        <rFont val="Aptos"/>
        <family val="2"/>
      </rPr>
      <t>without</t>
    </r>
    <r>
      <rPr>
        <sz val="11"/>
        <color rgb="FF000000"/>
        <rFont val="Aptos"/>
        <family val="2"/>
      </rPr>
      <t xml:space="preserve"> byte swap.</t>
    </r>
  </si>
  <si>
    <t>Float4</t>
  </si>
  <si>
    <t>Int2</t>
  </si>
  <si>
    <t>Int4</t>
  </si>
  <si>
    <t>Uticor DATATYPE Value</t>
  </si>
  <si>
    <t>Uticor ENCODE Value</t>
  </si>
  <si>
    <t>0032</t>
  </si>
  <si>
    <t>Tag List Configuration Guide</t>
  </si>
  <si>
    <t>Getting Started</t>
  </si>
  <si>
    <t>Sheet Setup</t>
  </si>
  <si>
    <t>1. Begin with the "Location_1" template sheet included in this workbook</t>
  </si>
  <si>
    <t>2. For additional locations or PLCs:</t>
  </si>
  <si>
    <t>Workbook Naming</t>
  </si>
  <si>
    <t>Name your workbook to reflect the project (e.g., "Meridian Collections Tag List")</t>
  </si>
  <si>
    <t>Top Section Parameters</t>
  </si>
  <si>
    <t>Tag List Configuration</t>
  </si>
  <si>
    <t>PLC Tag and Modbus Register</t>
  </si>
  <si>
    <t>Additional Configuration Fields</t>
  </si>
  <si>
    <t>Field</t>
  </si>
  <si>
    <t>Check if tag should trigger alarms</t>
  </si>
  <si>
    <t>Check if tag should be historically logged</t>
  </si>
  <si>
    <t>Check if tag should appear on displays</t>
  </si>
  <si>
    <t>Export Instructions</t>
  </si>
  <si>
    <t>Uticor Export</t>
  </si>
  <si>
    <t>1. Click the "Export for Uticor" button at top of sheet</t>
  </si>
  <si>
    <t>2. Select save location in dialog</t>
  </si>
  <si>
    <t>3. Upload resulting XML file to Uticor end-point configuration</t>
  </si>
  <si>
    <t>Ignition Export</t>
  </si>
  <si>
    <t>1. Click the "Export for Ignition" button at top of sheet</t>
  </si>
  <si>
    <t>3. Import resulting JSON file into Ignition Tag Browser</t>
  </si>
  <si>
    <t>Additional Notes</t>
  </si>
  <si>
    <t>Keep the DataTypes sheet for reference</t>
  </si>
  <si>
    <t>Each sheet should represent a single location or PLC</t>
  </si>
  <si>
    <t>Example Integer for Micrologix</t>
  </si>
  <si>
    <t>Example Boolean for Micrologix</t>
  </si>
  <si>
    <t>Example Float for Micrologix</t>
  </si>
  <si>
    <t>This is a boolean value stored as a bit on a N register in a Micrologix</t>
  </si>
  <si>
    <t>This is a word stored on a N register in a Micrologix</t>
  </si>
  <si>
    <t>This is a Floating point number that has been multiplied by the scaling parameter in the Micrologix to get a whole number, then stored in an N register and will need to be divided by that same number to give us a real world value</t>
  </si>
  <si>
    <t>This is a boolean value stored as a coil using a routine on a CompactLogix, or the Modbus function of a Micro800 Series PLC</t>
  </si>
  <si>
    <t>Example Boolean for Micro or Compact</t>
  </si>
  <si>
    <t>Example Integer for Micro or Compact</t>
  </si>
  <si>
    <t>This is an unsigned integer stored as a holding register value using a routine on a CompactLogix, or Modbus Function of a Micro800 Series PLC</t>
  </si>
  <si>
    <t>Example Float for Micro or Compact</t>
  </si>
  <si>
    <t>This is an floating point number stored as a holding register value using a routine on a CompactLogix, or Modbus Function of a Micro800 Series PLC</t>
  </si>
  <si>
    <t>Example Flow Total for Micrologix</t>
  </si>
  <si>
    <t>Example Runtime for Micrologix</t>
  </si>
  <si>
    <t>This is a long word that has been split into two words, and then stored on two consecutive N registers in a Micrologix.</t>
  </si>
  <si>
    <t>N7:0/0</t>
  </si>
  <si>
    <t>N7:5</t>
  </si>
  <si>
    <t>N7:6</t>
  </si>
  <si>
    <t>N7:7</t>
  </si>
  <si>
    <t>N7:9</t>
  </si>
  <si>
    <t>17</t>
  </si>
  <si>
    <t>Update Data</t>
  </si>
  <si>
    <t>On Change</t>
  </si>
  <si>
    <t>On Scan-Rate</t>
  </si>
  <si>
    <t>Format Tag Name</t>
  </si>
  <si>
    <t>CAPITALIZE ALL</t>
  </si>
  <si>
    <t>This is a unsigned integer value that has been split into two words, scaled, and then stored on two consecutive N registers in a Micrologix.</t>
  </si>
  <si>
    <t>Tag Group</t>
  </si>
  <si>
    <t>Example Tags</t>
  </si>
  <si>
    <t>Example_Micrologix</t>
  </si>
  <si>
    <t>Used for Ethernet connections in Uticor Export and OPC item path in Ignition</t>
  </si>
  <si>
    <t xml:space="preserve"> </t>
  </si>
  <si>
    <t xml:space="preserve">   - Right-click the sheet tab</t>
  </si>
  <si>
    <t xml:space="preserve">   - Select "Move or Copy" and check "Create a copy"</t>
  </si>
  <si>
    <t xml:space="preserve">   - Rename the sheet to reflect your location (e.g., "Lift Station 4")</t>
  </si>
  <si>
    <t>Notes</t>
  </si>
  <si>
    <t>Review the Example Value column to verify scaling</t>
  </si>
  <si>
    <t>Tag Group determines subfolder in Ignition export</t>
  </si>
  <si>
    <t>Sheet Name becomes top-level folder in Ignition export</t>
  </si>
  <si>
    <t>Select "Ethernet" or "Serial" — determines Modbus TCP/RTU behavior</t>
  </si>
  <si>
    <t>Default is 502 — modify only if specifically required</t>
  </si>
  <si>
    <t>Use clear, descriptive names. Avoid abbreviations when possible. Preferred: "Level" not "Lvl", "Pump" not "Pmp"</t>
  </si>
  <si>
    <t>Provides documentation and notes. Included in Ignition Export, not used in Uticor.</t>
  </si>
  <si>
    <t>Must match PLC configuration. See 'DataTypes' sheet for details.</t>
  </si>
  <si>
    <t>Micrologix: use N#:## format. Auto-converted. Others: manual entry required.</t>
  </si>
  <si>
    <t>For implied decimals. Example: PLC=12345, Display=123.45, Scaling=100. Display = PLC ÷ Scaling. Disabled for Read+Write in Uticor.</t>
  </si>
  <si>
    <t>Organizes tags into subfolders in Ignition. Defaults to 'Ungrouped'. Used as NODEID in Uticor.</t>
  </si>
  <si>
    <t>Sets tag accessibility — 'Read Only' or 'Read+Write'</t>
  </si>
  <si>
    <t>Shows preview using scaling and data type</t>
  </si>
  <si>
    <t>Displays the resulting path for Ignition or Uticor endpoint</t>
  </si>
  <si>
    <t>Set to 'On Change' by default. Use 'On Scan-Rate' if updates aren't reliable.</t>
  </si>
  <si>
    <t>Used as PLC Device Name in Igntion OPC Path</t>
  </si>
  <si>
    <t>BOOL</t>
  </si>
  <si>
    <t>BOOL (Bit of INT)</t>
  </si>
  <si>
    <t>Boolean datatype works on Micrologix and Micro800 series when the bit level of an INT needs to be accessed.</t>
  </si>
  <si>
    <t>INT</t>
  </si>
  <si>
    <t>For signed words on Micrologix PLCs, Micro800 does not use 16bit Integers.</t>
  </si>
  <si>
    <t>UINT</t>
  </si>
  <si>
    <t>For unsigned words on Micrologix PLCs, Micro800 does not use 16bit Integers.</t>
  </si>
  <si>
    <t>INT (Scaled)</t>
  </si>
  <si>
    <t>For implied decimal integers on Micrologix PLCs. Convert an INT to a REAL.</t>
  </si>
  <si>
    <t>UINT (Scaled)</t>
  </si>
  <si>
    <t>DINT (Scaled)</t>
  </si>
  <si>
    <r>
      <t xml:space="preserve">Converts a DINT to a REAL, </t>
    </r>
    <r>
      <rPr>
        <b/>
        <sz val="11"/>
        <color rgb="FF000000"/>
        <rFont val="Aptos"/>
        <family val="2"/>
      </rPr>
      <t>without</t>
    </r>
    <r>
      <rPr>
        <sz val="11"/>
        <color rgb="FF000000"/>
        <rFont val="Aptos"/>
        <family val="2"/>
      </rPr>
      <t xml:space="preserve"> byte swap.</t>
    </r>
  </si>
  <si>
    <t>DINT (Scaled, w/Byte Swap)</t>
  </si>
  <si>
    <r>
      <t xml:space="preserve">Converts a DINT to a REAL, </t>
    </r>
    <r>
      <rPr>
        <b/>
        <sz val="11"/>
        <color rgb="FF000000"/>
        <rFont val="Aptos"/>
        <family val="2"/>
      </rPr>
      <t>with</t>
    </r>
    <r>
      <rPr>
        <sz val="11"/>
        <color rgb="FF000000"/>
        <rFont val="Aptos"/>
        <family val="2"/>
      </rPr>
      <t xml:space="preserve"> byte swap.</t>
    </r>
  </si>
  <si>
    <t>7</t>
  </si>
  <si>
    <t>UDINT (Scaled)</t>
  </si>
  <si>
    <r>
      <t xml:space="preserve">Converts an UDINT to a REAL, </t>
    </r>
    <r>
      <rPr>
        <b/>
        <sz val="11"/>
        <color rgb="FF000000"/>
        <rFont val="Aptos"/>
        <family val="2"/>
      </rPr>
      <t>without</t>
    </r>
    <r>
      <rPr>
        <sz val="11"/>
        <color rgb="FF000000"/>
        <rFont val="Aptos"/>
        <family val="2"/>
      </rPr>
      <t xml:space="preserve"> byte swap. </t>
    </r>
  </si>
  <si>
    <t>UDINT (Scaled, w/Byte Swap)</t>
  </si>
  <si>
    <r>
      <t xml:space="preserve">Converts an UDINT to a REAL, </t>
    </r>
    <r>
      <rPr>
        <b/>
        <sz val="11"/>
        <color rgb="FF000000"/>
        <rFont val="Aptos"/>
        <family val="2"/>
      </rPr>
      <t>with</t>
    </r>
    <r>
      <rPr>
        <sz val="11"/>
        <color rgb="FF000000"/>
        <rFont val="Aptos"/>
        <family val="2"/>
      </rPr>
      <t xml:space="preserve"> byte swap.</t>
    </r>
  </si>
  <si>
    <t>DINT</t>
  </si>
  <si>
    <t>DINT (w/Byte Swap)</t>
  </si>
  <si>
    <t>UDINT</t>
  </si>
  <si>
    <t>UDINT (w/Byte Swap)</t>
  </si>
  <si>
    <r>
      <t xml:space="preserve">32 Bit Unsigned Integer, </t>
    </r>
    <r>
      <rPr>
        <b/>
        <sz val="11"/>
        <color rgb="FF000000"/>
        <rFont val="Aptos"/>
        <family val="2"/>
      </rPr>
      <t>with</t>
    </r>
    <r>
      <rPr>
        <sz val="11"/>
        <color rgb="FF000000"/>
        <rFont val="Aptos"/>
        <family val="2"/>
      </rPr>
      <t xml:space="preserve"> byte swap. Default datatype on Micro800 series UDINT tags, and unscaled totalizers. </t>
    </r>
  </si>
  <si>
    <t>REAL</t>
  </si>
  <si>
    <t>REAL (w/Byte Swap)</t>
  </si>
  <si>
    <r>
      <t xml:space="preserve">32 Bit Floating Point, </t>
    </r>
    <r>
      <rPr>
        <b/>
        <sz val="11"/>
        <color rgb="FF000000"/>
        <rFont val="Aptos"/>
        <family val="2"/>
      </rPr>
      <t>with</t>
    </r>
    <r>
      <rPr>
        <sz val="11"/>
        <color rgb="FF000000"/>
        <rFont val="Aptos"/>
        <family val="2"/>
      </rPr>
      <t xml:space="preserve"> byte swap. Default datatype on Micro800 series REAL tags.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</si>
</sst>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0"/>
      <color rgb="FF000000"/>
      <name val="Aptos Black"/>
      <family val="2"/>
    </font>
    <font>
      <sz val="10"/>
      <color rgb="FF000000"/>
      <name val="Aptos Mono"/>
      <family val="3"/>
    </font>
    <font>
      <sz val="10"/>
      <color theme="1"/>
      <name val="Aptos Mono"/>
      <family val="3"/>
    </font>
    <font>
      <b/>
      <sz val="11"/>
      <color theme="1"/>
      <name val="Aptos Black"/>
      <family val="2"/>
    </font>
    <font>
      <sz val="11"/>
      <name val="Aptos Black"/>
      <family val="2"/>
    </font>
    <font>
      <b/>
      <sz val="10"/>
      <color rgb="FF000000"/>
      <name val="Aptos Display"/>
      <family val="2"/>
    </font>
    <font>
      <b/>
      <sz val="12"/>
      <color rgb="FF000000"/>
      <name val="Aptos Display"/>
      <family val="2"/>
    </font>
    <font>
      <sz val="10"/>
      <color rgb="FF000000"/>
      <name val="Aptos"/>
      <family val="2"/>
    </font>
    <font>
      <sz val="11"/>
      <color rgb="FF000000"/>
      <name val="Aptos"/>
      <family val="2"/>
    </font>
    <font>
      <sz val="11"/>
      <color rgb="FF000000"/>
      <name val="Arial"/>
      <family val="2"/>
      <scheme val="minor"/>
    </font>
    <font>
      <b/>
      <sz val="11"/>
      <color rgb="FF000000"/>
      <name val="Aptos"/>
      <family val="2"/>
    </font>
    <font>
      <sz val="10"/>
      <color rgb="FF00000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2"/>
      <color rgb="FF000000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10"/>
      <color rgb="FF000000"/>
      <name val="Aptos Display"/>
      <charset val="1"/>
    </font>
  </fonts>
  <fills count="3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39">
    <xf numFmtId="0" fontId="0" fillId="0" borderId="0" xfId="0"/>
    <xf numFmtId="0" fontId="3" fillId="0" borderId="0" xfId="0" applyFont="1"/>
    <xf numFmtId="0" fontId="2" fillId="0" borderId="0" xfId="0" applyFont="1" applyAlignment="1">
      <alignment horizontal="right" vertical="center"/>
    </xf>
    <xf numFmtId="0" fontId="4" fillId="0" borderId="0" xfId="0" applyFont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49" fontId="5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0" fontId="4" fillId="0" borderId="0" xfId="0" applyFont="1"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9" fillId="0" borderId="0" xfId="0" applyFont="1"/>
    <xf numFmtId="0" fontId="9" fillId="0" borderId="0" xfId="0" applyFont="1" applyAlignment="1">
      <alignment wrapText="1"/>
    </xf>
    <xf numFmtId="0" fontId="10" fillId="0" borderId="0" xfId="0" applyFont="1"/>
    <xf numFmtId="0" fontId="10" fillId="0" borderId="0" xfId="0" applyFont="1" applyAlignment="1">
      <alignment wrapText="1"/>
    </xf>
    <xf numFmtId="49" fontId="10" fillId="0" borderId="0" xfId="0" applyNumberFormat="1" applyFont="1" applyAlignment="1">
      <alignment horizontal="right"/>
    </xf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49" fontId="8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16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3" fillId="0" borderId="0" xfId="0" applyFont="1" applyAlignment="1">
      <alignment horizontal="left" vertical="center" indent="1"/>
    </xf>
    <xf numFmtId="0" fontId="13" fillId="0" borderId="0" xfId="0" applyFont="1" applyAlignment="1">
      <alignment horizontal="left" vertical="center" indent="2"/>
    </xf>
    <xf numFmtId="0" fontId="15" fillId="0" borderId="0" xfId="0" applyFont="1" applyAlignment="1">
      <alignment horizontal="center" vertical="center" wrapText="1"/>
    </xf>
    <xf numFmtId="0" fontId="13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0" fontId="1" fillId="0" borderId="0" xfId="1"/>
    <xf numFmtId="0" fontId="17" fillId="0" borderId="0" xfId="1" applyFont="1" applyAlignment="1">
      <alignment horizontal="left" vertical="center"/>
    </xf>
    <xf numFmtId="0" fontId="14" fillId="2" borderId="1" xfId="1" applyFont="1" applyFill="1" applyBorder="1" applyAlignment="1">
      <alignment horizontal="center" vertical="center" wrapText="1"/>
    </xf>
    <xf numFmtId="0" fontId="1" fillId="0" borderId="1" xfId="1" applyBorder="1" applyAlignment="1">
      <alignment vertical="top" wrapText="1"/>
    </xf>
  </cellXfs>
  <cellStyles count="2">
    <cellStyle name="Normal" xfId="0" builtinId="0"/>
    <cellStyle name="Normal 2" xfId="1" xr:uid="{D05ABC9A-CEA4-4CFC-BD0D-8658936EDE4E}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"/>
        <family val="2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"/>
        <family val="2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Mono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Mono"/>
        <family val="3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Mono"/>
        <family val="3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Mono"/>
        <family val="3"/>
        <scheme val="none"/>
      </font>
    </dxf>
    <dxf>
      <font>
        <strike val="0"/>
        <outline val="0"/>
        <shadow val="0"/>
        <u val="none"/>
        <vertAlign val="baseline"/>
        <sz val="10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Mono"/>
        <family val="3"/>
        <scheme val="none"/>
      </font>
    </dxf>
    <dxf>
      <font>
        <strike val="0"/>
        <outline val="0"/>
        <shadow val="0"/>
        <u val="none"/>
        <vertAlign val="baseline"/>
        <sz val="10"/>
        <name val="Aptos Mono"/>
        <family val="3"/>
        <scheme val="none"/>
      </font>
      <alignment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Mono"/>
        <family val="3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Black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Mono"/>
        <family val="3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Aptos Mono"/>
        <family val="3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Black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ptos Black"/>
        <family val="2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Black"/>
        <family val="2"/>
        <scheme val="none"/>
      </font>
      <alignment horizontal="center" vertical="center" textRotation="0" wrapText="0" indent="0" justifyLastLine="0" shrinkToFit="0" readingOrder="0"/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2.xml"/><Relationship Id="rId5" Type="http://schemas.openxmlformats.org/officeDocument/2006/relationships/styles" Target="style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1</xdr:row>
          <xdr:rowOff>88900</xdr:rowOff>
        </xdr:from>
        <xdr:to>
          <xdr:col>3</xdr:col>
          <xdr:colOff>2019300</xdr:colOff>
          <xdr:row>2</xdr:row>
          <xdr:rowOff>177800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ptos Display"/>
                </a:rPr>
                <a:t>Export XML for Uticor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3</xdr:row>
          <xdr:rowOff>101600</xdr:rowOff>
        </xdr:from>
        <xdr:to>
          <xdr:col>3</xdr:col>
          <xdr:colOff>2032000</xdr:colOff>
          <xdr:row>5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ptos Display"/>
                </a:rPr>
                <a:t>Export JSON for Ignition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09B09F-C308-4F48-A191-36344CAA95B2}" name="Connection_Parameters" displayName="Connection_Parameters" ref="A1:B6" headerRowDxfId="25">
  <autoFilter ref="A1:B6" xr:uid="{4009B09F-C308-4F48-A191-36344CAA95B2}">
    <filterColumn colId="0" hiddenButton="1"/>
    <filterColumn colId="1" hiddenButton="1"/>
  </autoFilter>
  <tableColumns count="2">
    <tableColumn id="1" xr3:uid="{E5F0C6DF-1E00-49C5-A49A-7D874A7C719F}" name="Parameter" totalsRowLabel="Total" dataDxfId="24" totalsRowDxfId="23"/>
    <tableColumn id="2" xr3:uid="{6546E1F6-584B-48E1-BA11-038BAD61CBBB}" name="Value" totalsRowFunction="count" dataDxfId="22" totalsRowDxfId="21"/>
  </tableColumns>
  <tableStyleInfo name="TableStyleMedium7" showFirstColumn="0" showLastColumn="0" showRowStripes="0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040AAB-50CE-48BD-A1DA-19FC34266833}" name="Tag_Data" displayName="Tag_Data" ref="A7:N85" totalsRowShown="0" headerRowDxfId="20" dataDxfId="19">
  <autoFilter ref="A7:N85" xr:uid="{7D040AAB-50CE-48BD-A1DA-19FC3426683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4" xr3:uid="{4E85E245-B669-4BAF-A574-D8946765D32E}" name="Tag Group" dataDxfId="18"/>
    <tableColumn id="1" xr3:uid="{E7CF9ED0-097C-4744-A44E-6C55822BB4DF}" name="Tag Name" dataDxfId="17"/>
    <tableColumn id="2" xr3:uid="{59DF75FA-A579-4016-9A10-3EBA1F0386BA}" name="Description" dataDxfId="16"/>
    <tableColumn id="3" xr3:uid="{E7E2252C-DCF8-4180-83AB-2F49653953AD}" name="Data Type" dataDxfId="15"/>
    <tableColumn id="4" xr3:uid="{CEA770FE-E9D2-41CA-800F-C9769E3CDB14}" name="PLC Tag" dataDxfId="14"/>
    <tableColumn id="5" xr3:uid="{10472586-290F-4A9E-AF51-8586D9B71EBB}" name="Modbus Register" dataDxfId="13">
      <calculatedColumnFormula>IF(LEN(E8)&gt;0, IF(D8 = "Boolean", (VALUE(MID(E8,FIND(":",E8)+1,FIND("/",E8)-FIND(":",E8)-1))*16) + (VALUE(RIGHT(E8,LEN(E8)-FIND("/",E8)))), VALUE(RIGHT(E8,LEN(E8)-FIND(":",E8)))), "")</calculatedColumnFormula>
    </tableColumn>
    <tableColumn id="6" xr3:uid="{1C0E925D-A31E-44A3-8C9F-90497404A63B}" name="Scaling" dataDxfId="12"/>
    <tableColumn id="7" xr3:uid="{CCF57C8F-EB43-442C-848A-234CD878BA2B}" name="Read/Write" dataDxfId="11"/>
    <tableColumn id="13" xr3:uid="{4282FB7F-7FA1-48DC-9F61-5403CBFE22BD}" name="Update Data" dataDxfId="10"/>
    <tableColumn id="8" xr3:uid="{865C9498-88EC-4974-BCF7-7B1ADCE4257D}" name="Alarm" dataDxfId="9"/>
    <tableColumn id="9" xr3:uid="{C02D2C2B-DE87-4F3A-8731-1988269D4C91}" name="History" dataDxfId="8"/>
    <tableColumn id="10" xr3:uid="{7C8C7DF1-6D5F-4F4C-9870-C6D794F0165D}" name="Display" dataDxfId="7"/>
    <tableColumn id="11" xr3:uid="{35868CB6-26CC-40F7-84B6-98CAAD4CF0FF}" name="Example Value" dataDxfId="6">
      <calculatedColumnFormula array="1">_xlfn.IFS(
    ISNUMBER(SEARCH("BOOL", D8)), 1,
    ISNUMBER(SEARCH("INT", D8)), ROUND(12345/G8, 0),
    ISNUMBER(SEARCH("REAL", D8)), ROUND(12345/G8, 5)
)</calculatedColumnFormula>
    </tableColumn>
    <tableColumn id="12" xr3:uid="{C6F09B67-6589-4F22-88CC-674DD310E976}" name="Formatted Tag Name" dataDxfId="5">
      <calculatedColumnFormula>CONCATENATE(
    SUBSTITUTE(
        SUBSTITUTE(
            IF(
                H8 = "Read Only",
                CONCATENATE("_",
                    IF(J8 = TRUE, "A-", ""),
                    IF(K8 = TRUE, "H-", ""),
                    IF(L8 = TRUE, "D", ""),
                    "_",
                    SUBSTITUTE(
                        IF($B$6="CAPITALIZE ALL",
                            UPPER(TRIM(B8)),
                            IF($B$6="Upper Case Words",
                                PROPER(TRIM(B8)),
                                TRIM(B8)
                            )
                        ),
                        " ", "_"
                    )
                ),
                _xlfn.CONCAT("CMD_",
                    SUBSTITUTE(
                        IF($B$6="CAPITALIZE ALL",
                            UPPER(TRIM(B8)),
                            IF($B$6="Upper Case Words",
                                PROPER(TRIM(B8)),
                                TRIM(B8)
                            )
                        ),
                        " ", "_"
                    )
                )
            ),
            "-_", "_"
        ),
        "__", ""
    ),
    IF(
        AND(
            OR(ISNUMBER(SEARCH("INT", D8)), ISNUMBER(SEARCH("REAL", D8))),
            G8 &gt; 1
        ),
        _xlfn.CONCAT("_x", G8),
        ""
    )
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28B25F-5C85-44A8-A6E5-42CE2523BBD6}" name="DataTypes" displayName="DataTypes" ref="A1:E17" totalsRowShown="0">
  <autoFilter ref="A1:E17" xr:uid="{1828B25F-5C85-44A8-A6E5-42CE2523BBD6}"/>
  <tableColumns count="5">
    <tableColumn id="1" xr3:uid="{BB366EBD-A77C-4216-9E08-32ECE2384305}" name="PLC Data Type" dataDxfId="4"/>
    <tableColumn id="2" xr3:uid="{E88110F5-7620-4A0A-9565-8CD4004F6B9D}" name="Ignition Data Type" dataDxfId="3"/>
    <tableColumn id="3" xr3:uid="{86176600-A678-455A-B4CA-C12697FA3C49}" name="Modbus Use Case" dataDxfId="2"/>
    <tableColumn id="4" xr3:uid="{B62B718D-FA0A-40A9-AA9D-95C7596F260E}" name="Uticor DATATYPE Value" dataDxfId="1"/>
    <tableColumn id="5" xr3:uid="{AEB61139-C716-46F1-8C55-B983EA757557}" name="Uticor ENCODE Value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F2602-7292-43C0-8F11-C54EB3FF266C}">
  <sheetPr codeName="Sheet3"/>
  <dimension ref="A1:E80"/>
  <sheetViews>
    <sheetView workbookViewId="0">
      <selection activeCell="B21" sqref="B21"/>
    </sheetView>
  </sheetViews>
  <sheetFormatPr baseColWidth="10" defaultColWidth="23.33203125" defaultRowHeight="14" x14ac:dyDescent="0.2"/>
  <cols>
    <col min="1" max="1" width="107.5" style="15" bestFit="1" customWidth="1"/>
    <col min="2" max="2" width="90.33203125" style="15" bestFit="1" customWidth="1"/>
    <col min="3" max="3" width="63.1640625" style="15" bestFit="1" customWidth="1"/>
    <col min="4" max="4" width="74" style="15" bestFit="1" customWidth="1"/>
    <col min="5" max="5" width="130.83203125" style="15" bestFit="1" customWidth="1"/>
    <col min="6" max="16384" width="23.33203125" style="15"/>
  </cols>
  <sheetData>
    <row r="1" spans="1:5" ht="18" x14ac:dyDescent="0.2">
      <c r="A1" s="36" t="s">
        <v>45</v>
      </c>
      <c r="B1" s="35"/>
      <c r="C1" s="35"/>
      <c r="D1" s="35"/>
      <c r="E1"/>
    </row>
    <row r="2" spans="1:5" ht="15" x14ac:dyDescent="0.2">
      <c r="A2" s="37" t="s">
        <v>46</v>
      </c>
      <c r="B2" s="37"/>
      <c r="C2" s="37" t="s">
        <v>60</v>
      </c>
      <c r="D2" s="37" t="s">
        <v>102</v>
      </c>
      <c r="E2"/>
    </row>
    <row r="3" spans="1:5" ht="15" x14ac:dyDescent="0.2">
      <c r="A3" s="38" t="s">
        <v>47</v>
      </c>
      <c r="B3" s="38" t="s">
        <v>48</v>
      </c>
      <c r="C3" s="38" t="s">
        <v>61</v>
      </c>
      <c r="D3" s="38"/>
      <c r="E3"/>
    </row>
    <row r="4" spans="1:5" ht="15" x14ac:dyDescent="0.2">
      <c r="A4" s="38"/>
      <c r="B4" s="38" t="s">
        <v>49</v>
      </c>
      <c r="C4" s="38" t="s">
        <v>62</v>
      </c>
      <c r="D4" s="38" t="s">
        <v>66</v>
      </c>
      <c r="E4"/>
    </row>
    <row r="5" spans="1:5" ht="15" x14ac:dyDescent="0.2">
      <c r="A5" s="38"/>
      <c r="B5" s="38" t="s">
        <v>103</v>
      </c>
      <c r="C5" s="38" t="s">
        <v>63</v>
      </c>
      <c r="D5" s="38" t="s">
        <v>63</v>
      </c>
      <c r="E5"/>
    </row>
    <row r="6" spans="1:5" ht="15" x14ac:dyDescent="0.2">
      <c r="A6" s="38"/>
      <c r="B6" s="38" t="s">
        <v>104</v>
      </c>
      <c r="C6" s="38" t="s">
        <v>64</v>
      </c>
      <c r="D6" s="38" t="s">
        <v>67</v>
      </c>
      <c r="E6"/>
    </row>
    <row r="7" spans="1:5" ht="15" x14ac:dyDescent="0.2">
      <c r="A7" s="38"/>
      <c r="B7" s="38" t="s">
        <v>105</v>
      </c>
      <c r="C7" s="38"/>
      <c r="D7" s="38"/>
      <c r="E7"/>
    </row>
    <row r="8" spans="1:5" ht="15" x14ac:dyDescent="0.2">
      <c r="A8" s="38" t="s">
        <v>50</v>
      </c>
      <c r="B8" s="38" t="s">
        <v>51</v>
      </c>
      <c r="C8" s="38" t="s">
        <v>65</v>
      </c>
      <c r="D8" s="38"/>
      <c r="E8"/>
    </row>
    <row r="9" spans="1:5" x14ac:dyDescent="0.2">
      <c r="A9" s="30"/>
      <c r="B9"/>
      <c r="C9"/>
      <c r="D9"/>
      <c r="E9"/>
    </row>
    <row r="10" spans="1:5" ht="18" x14ac:dyDescent="0.2">
      <c r="A10" s="36" t="s">
        <v>68</v>
      </c>
      <c r="B10" s="35"/>
      <c r="C10" s="35"/>
      <c r="D10" s="35"/>
      <c r="E10"/>
    </row>
    <row r="11" spans="1:5" ht="15" x14ac:dyDescent="0.2">
      <c r="A11" s="37" t="s">
        <v>106</v>
      </c>
      <c r="B11" s="35"/>
      <c r="C11" s="35"/>
      <c r="D11" s="35"/>
      <c r="E11"/>
    </row>
    <row r="12" spans="1:5" ht="15" x14ac:dyDescent="0.2">
      <c r="A12" s="38" t="s">
        <v>69</v>
      </c>
      <c r="B12" s="35"/>
      <c r="C12" s="35"/>
      <c r="D12" s="35"/>
      <c r="E12"/>
    </row>
    <row r="13" spans="1:5" ht="15" x14ac:dyDescent="0.2">
      <c r="A13" s="38" t="s">
        <v>107</v>
      </c>
      <c r="B13" s="35"/>
      <c r="C13" s="35"/>
      <c r="D13" s="35"/>
      <c r="E13"/>
    </row>
    <row r="14" spans="1:5" ht="15" x14ac:dyDescent="0.2">
      <c r="A14" s="38" t="s">
        <v>70</v>
      </c>
      <c r="B14" s="35"/>
      <c r="C14" s="35"/>
      <c r="D14" s="35"/>
      <c r="E14"/>
    </row>
    <row r="15" spans="1:5" ht="15" x14ac:dyDescent="0.2">
      <c r="A15" s="38" t="s">
        <v>108</v>
      </c>
      <c r="B15" s="35"/>
      <c r="C15" s="35"/>
      <c r="D15" s="35"/>
      <c r="E15"/>
    </row>
    <row r="16" spans="1:5" ht="15" x14ac:dyDescent="0.2">
      <c r="A16" s="38" t="s">
        <v>109</v>
      </c>
      <c r="B16" s="35"/>
      <c r="C16" s="35"/>
      <c r="D16" s="35"/>
      <c r="E16"/>
    </row>
    <row r="17" spans="1:5" x14ac:dyDescent="0.2">
      <c r="A17" s="31"/>
      <c r="B17"/>
      <c r="C17"/>
      <c r="D17"/>
      <c r="E17"/>
    </row>
    <row r="18" spans="1:5" ht="18" x14ac:dyDescent="0.2">
      <c r="A18" s="36" t="s">
        <v>52</v>
      </c>
      <c r="B18" s="35"/>
      <c r="C18" s="35"/>
      <c r="D18" s="35"/>
      <c r="E18" s="35"/>
    </row>
    <row r="19" spans="1:5" ht="15" x14ac:dyDescent="0.2">
      <c r="A19" s="37" t="s">
        <v>19</v>
      </c>
      <c r="B19" s="37" t="s">
        <v>14</v>
      </c>
      <c r="C19" s="35"/>
      <c r="D19" s="35"/>
      <c r="E19" s="35"/>
    </row>
    <row r="20" spans="1:5" ht="15" x14ac:dyDescent="0.2">
      <c r="A20" s="38" t="s">
        <v>15</v>
      </c>
      <c r="B20" s="38" t="s">
        <v>122</v>
      </c>
      <c r="C20" s="35"/>
      <c r="D20" s="35"/>
      <c r="E20" s="35"/>
    </row>
    <row r="21" spans="1:5" ht="15" x14ac:dyDescent="0.2">
      <c r="A21" s="38" t="s">
        <v>16</v>
      </c>
      <c r="B21" s="38" t="s">
        <v>110</v>
      </c>
      <c r="C21" s="35"/>
      <c r="D21" s="35"/>
      <c r="E21" s="35"/>
    </row>
    <row r="22" spans="1:5" ht="15" x14ac:dyDescent="0.2">
      <c r="A22" s="38" t="s">
        <v>18</v>
      </c>
      <c r="B22" s="38" t="s">
        <v>101</v>
      </c>
      <c r="C22" s="35"/>
      <c r="D22" s="35"/>
      <c r="E22" s="35"/>
    </row>
    <row r="23" spans="1:5" ht="15" x14ac:dyDescent="0.2">
      <c r="A23" s="38" t="s">
        <v>2</v>
      </c>
      <c r="B23" s="38" t="s">
        <v>111</v>
      </c>
      <c r="C23" s="35"/>
      <c r="D23" s="35"/>
      <c r="E23" s="35"/>
    </row>
    <row r="24" spans="1:5" x14ac:dyDescent="0.2">
      <c r="A24" s="29"/>
      <c r="B24"/>
      <c r="C24"/>
      <c r="D24"/>
      <c r="E24"/>
    </row>
    <row r="25" spans="1:5" ht="18" x14ac:dyDescent="0.2">
      <c r="A25" s="36" t="s">
        <v>53</v>
      </c>
      <c r="B25" s="35"/>
      <c r="C25" s="35"/>
      <c r="D25" s="35"/>
      <c r="E25" s="35"/>
    </row>
    <row r="26" spans="1:5" ht="15" x14ac:dyDescent="0.2">
      <c r="A26" s="37" t="s">
        <v>3</v>
      </c>
      <c r="B26" s="37" t="s">
        <v>14</v>
      </c>
      <c r="C26" s="37" t="s">
        <v>4</v>
      </c>
      <c r="D26" s="37" t="s">
        <v>54</v>
      </c>
      <c r="E26" s="37" t="s">
        <v>6</v>
      </c>
    </row>
    <row r="27" spans="1:5" ht="15" x14ac:dyDescent="0.2">
      <c r="A27" s="38" t="s">
        <v>112</v>
      </c>
      <c r="B27" s="38" t="s">
        <v>113</v>
      </c>
      <c r="C27" s="38" t="s">
        <v>114</v>
      </c>
      <c r="D27" s="38" t="s">
        <v>115</v>
      </c>
      <c r="E27" s="38" t="s">
        <v>116</v>
      </c>
    </row>
    <row r="28" spans="1:5" x14ac:dyDescent="0.2">
      <c r="A28" s="29"/>
      <c r="B28"/>
      <c r="C28"/>
      <c r="D28"/>
      <c r="E28"/>
    </row>
    <row r="29" spans="1:5" ht="18" x14ac:dyDescent="0.2">
      <c r="A29" s="36" t="s">
        <v>55</v>
      </c>
      <c r="B29" s="35"/>
      <c r="C29" s="35"/>
      <c r="D29" s="35"/>
      <c r="E29" s="35"/>
    </row>
    <row r="30" spans="1:5" ht="15" x14ac:dyDescent="0.2">
      <c r="A30" s="37" t="s">
        <v>56</v>
      </c>
      <c r="B30" s="37" t="s">
        <v>14</v>
      </c>
      <c r="C30" s="35"/>
      <c r="D30" s="35"/>
      <c r="E30" s="35"/>
    </row>
    <row r="31" spans="1:5" s="16" customFormat="1" ht="15" x14ac:dyDescent="0.2">
      <c r="A31" s="38" t="s">
        <v>98</v>
      </c>
      <c r="B31" s="38" t="s">
        <v>117</v>
      </c>
      <c r="C31" s="35"/>
      <c r="D31" s="35"/>
      <c r="E31" s="35"/>
    </row>
    <row r="32" spans="1:5" s="16" customFormat="1" ht="15" x14ac:dyDescent="0.2">
      <c r="A32" s="38" t="s">
        <v>7</v>
      </c>
      <c r="B32" s="38" t="s">
        <v>118</v>
      </c>
      <c r="C32" s="35"/>
      <c r="D32" s="35"/>
      <c r="E32" s="35"/>
    </row>
    <row r="33" spans="1:5" s="16" customFormat="1" ht="15" x14ac:dyDescent="0.2">
      <c r="A33" s="38" t="s">
        <v>8</v>
      </c>
      <c r="B33" s="38" t="s">
        <v>57</v>
      </c>
      <c r="C33"/>
      <c r="D33"/>
      <c r="E33"/>
    </row>
    <row r="34" spans="1:5" ht="15" x14ac:dyDescent="0.2">
      <c r="A34" s="38" t="s">
        <v>9</v>
      </c>
      <c r="B34" s="38" t="s">
        <v>58</v>
      </c>
      <c r="C34"/>
      <c r="D34"/>
      <c r="E34"/>
    </row>
    <row r="35" spans="1:5" ht="15" x14ac:dyDescent="0.2">
      <c r="A35" s="38" t="s">
        <v>10</v>
      </c>
      <c r="B35" s="38" t="s">
        <v>59</v>
      </c>
      <c r="C35"/>
      <c r="D35"/>
      <c r="E35"/>
    </row>
    <row r="36" spans="1:5" ht="15" x14ac:dyDescent="0.2">
      <c r="A36" s="38" t="s">
        <v>11</v>
      </c>
      <c r="B36" s="38" t="s">
        <v>119</v>
      </c>
      <c r="C36"/>
      <c r="D36"/>
      <c r="E36"/>
    </row>
    <row r="37" spans="1:5" ht="15" x14ac:dyDescent="0.2">
      <c r="A37" s="38" t="s">
        <v>21</v>
      </c>
      <c r="B37" s="38" t="s">
        <v>120</v>
      </c>
      <c r="C37"/>
      <c r="D37"/>
      <c r="E37"/>
    </row>
    <row r="38" spans="1:5" ht="15" x14ac:dyDescent="0.2">
      <c r="A38" s="38" t="s">
        <v>92</v>
      </c>
      <c r="B38" s="38" t="s">
        <v>121</v>
      </c>
      <c r="C38"/>
      <c r="D38"/>
      <c r="E38"/>
    </row>
    <row r="39" spans="1:5" x14ac:dyDescent="0.2">
      <c r="A39"/>
      <c r="B39"/>
      <c r="C39"/>
      <c r="D39"/>
      <c r="E39"/>
    </row>
    <row r="40" spans="1:5" x14ac:dyDescent="0.2">
      <c r="A40"/>
      <c r="B40"/>
      <c r="C40"/>
      <c r="D40"/>
      <c r="E40"/>
    </row>
    <row r="41" spans="1:5" ht="16" x14ac:dyDescent="0.2">
      <c r="A41" s="27"/>
      <c r="B41"/>
      <c r="C41"/>
      <c r="D41"/>
      <c r="E41"/>
    </row>
    <row r="42" spans="1:5" x14ac:dyDescent="0.2">
      <c r="A42" s="29"/>
      <c r="B42"/>
      <c r="C42"/>
      <c r="D42"/>
      <c r="E42"/>
    </row>
    <row r="43" spans="1:5" x14ac:dyDescent="0.2">
      <c r="A43" s="30"/>
      <c r="B43"/>
      <c r="C43"/>
      <c r="D43"/>
      <c r="E43"/>
    </row>
    <row r="44" spans="1:5" x14ac:dyDescent="0.2">
      <c r="A44" s="29"/>
      <c r="B44"/>
      <c r="C44"/>
      <c r="D44"/>
      <c r="E44"/>
    </row>
    <row r="45" spans="1:5" x14ac:dyDescent="0.2">
      <c r="A45" s="30"/>
      <c r="B45"/>
      <c r="C45"/>
      <c r="D45"/>
      <c r="E45"/>
    </row>
    <row r="46" spans="1:5" x14ac:dyDescent="0.2">
      <c r="A46" s="29"/>
      <c r="B46"/>
      <c r="C46"/>
      <c r="D46"/>
      <c r="E46"/>
    </row>
    <row r="47" spans="1:5" x14ac:dyDescent="0.2">
      <c r="A47" s="30"/>
      <c r="B47"/>
      <c r="C47"/>
      <c r="D47"/>
      <c r="E47"/>
    </row>
    <row r="48" spans="1:5" x14ac:dyDescent="0.2">
      <c r="A48" s="29"/>
      <c r="B48"/>
      <c r="C48"/>
      <c r="D48"/>
      <c r="E48"/>
    </row>
    <row r="49" spans="1:5" x14ac:dyDescent="0.2">
      <c r="A49" s="30"/>
      <c r="B49"/>
      <c r="C49"/>
      <c r="D49"/>
      <c r="E49"/>
    </row>
    <row r="50" spans="1:5" x14ac:dyDescent="0.2">
      <c r="A50"/>
      <c r="B50"/>
      <c r="C50"/>
      <c r="D50"/>
      <c r="E50"/>
    </row>
    <row r="51" spans="1:5" x14ac:dyDescent="0.2">
      <c r="A51"/>
      <c r="B51"/>
      <c r="C51"/>
      <c r="D51"/>
      <c r="E51"/>
    </row>
    <row r="52" spans="1:5" x14ac:dyDescent="0.2">
      <c r="A52"/>
      <c r="B52"/>
      <c r="C52"/>
      <c r="D52"/>
      <c r="E52"/>
    </row>
    <row r="53" spans="1:5" ht="16" x14ac:dyDescent="0.2">
      <c r="A53" s="27"/>
      <c r="B53"/>
      <c r="C53"/>
      <c r="D53"/>
      <c r="E53"/>
    </row>
    <row r="54" spans="1:5" x14ac:dyDescent="0.2">
      <c r="A54"/>
      <c r="B54"/>
      <c r="C54"/>
      <c r="D54"/>
      <c r="E54"/>
    </row>
    <row r="55" spans="1:5" x14ac:dyDescent="0.2">
      <c r="A55" s="28"/>
      <c r="B55"/>
      <c r="C55"/>
      <c r="D55"/>
      <c r="E55"/>
    </row>
    <row r="56" spans="1:5" x14ac:dyDescent="0.2">
      <c r="A56"/>
      <c r="B56"/>
      <c r="C56"/>
      <c r="D56"/>
      <c r="E56"/>
    </row>
    <row r="57" spans="1:5" x14ac:dyDescent="0.2">
      <c r="A57" s="32"/>
      <c r="B57" s="32"/>
      <c r="C57"/>
      <c r="D57"/>
      <c r="E57"/>
    </row>
    <row r="58" spans="1:5" x14ac:dyDescent="0.2">
      <c r="A58" s="34"/>
      <c r="B58" s="33"/>
      <c r="C58"/>
      <c r="D58"/>
      <c r="E58"/>
    </row>
    <row r="59" spans="1:5" x14ac:dyDescent="0.2">
      <c r="A59" s="34"/>
      <c r="B59" s="33"/>
      <c r="C59"/>
      <c r="D59"/>
      <c r="E59"/>
    </row>
    <row r="60" spans="1:5" x14ac:dyDescent="0.2">
      <c r="A60" s="34"/>
      <c r="B60" s="33"/>
      <c r="C60"/>
      <c r="D60"/>
      <c r="E60"/>
    </row>
    <row r="61" spans="1:5" x14ac:dyDescent="0.2">
      <c r="A61" s="34"/>
      <c r="B61" s="33"/>
      <c r="C61"/>
      <c r="D61"/>
      <c r="E61"/>
    </row>
    <row r="62" spans="1:5" x14ac:dyDescent="0.2">
      <c r="A62"/>
      <c r="B62"/>
      <c r="C62"/>
      <c r="D62"/>
      <c r="E62"/>
    </row>
    <row r="63" spans="1:5" x14ac:dyDescent="0.2">
      <c r="A63"/>
      <c r="B63"/>
      <c r="C63"/>
      <c r="D63"/>
      <c r="E63"/>
    </row>
    <row r="64" spans="1:5" ht="16" x14ac:dyDescent="0.2">
      <c r="A64" s="27"/>
      <c r="B64"/>
      <c r="C64"/>
      <c r="D64"/>
      <c r="E64"/>
    </row>
    <row r="65" spans="1:5" x14ac:dyDescent="0.2">
      <c r="A65"/>
      <c r="B65"/>
      <c r="C65"/>
      <c r="D65"/>
      <c r="E65"/>
    </row>
    <row r="66" spans="1:5" x14ac:dyDescent="0.2">
      <c r="A66" s="32"/>
      <c r="B66" s="32"/>
      <c r="C66" s="32"/>
      <c r="D66" s="32"/>
      <c r="E66" s="32"/>
    </row>
    <row r="67" spans="1:5" x14ac:dyDescent="0.2">
      <c r="A67" s="33"/>
      <c r="B67" s="33"/>
      <c r="C67" s="33"/>
      <c r="D67" s="33"/>
      <c r="E67" s="33"/>
    </row>
    <row r="68" spans="1:5" x14ac:dyDescent="0.2">
      <c r="A68"/>
      <c r="B68"/>
      <c r="C68"/>
      <c r="D68"/>
      <c r="E68"/>
    </row>
    <row r="69" spans="1:5" x14ac:dyDescent="0.2">
      <c r="A69"/>
      <c r="B69"/>
      <c r="C69"/>
      <c r="D69"/>
      <c r="E69"/>
    </row>
    <row r="70" spans="1:5" ht="16" x14ac:dyDescent="0.2">
      <c r="A70" s="27"/>
      <c r="B70"/>
      <c r="C70"/>
      <c r="D70"/>
      <c r="E70"/>
    </row>
    <row r="71" spans="1:5" x14ac:dyDescent="0.2">
      <c r="A71"/>
      <c r="B71"/>
      <c r="C71"/>
      <c r="D71"/>
      <c r="E71"/>
    </row>
    <row r="72" spans="1:5" x14ac:dyDescent="0.2">
      <c r="A72" s="32"/>
      <c r="B72" s="32"/>
      <c r="C72"/>
      <c r="D72"/>
      <c r="E72"/>
    </row>
    <row r="73" spans="1:5" x14ac:dyDescent="0.2">
      <c r="A73" s="34"/>
      <c r="B73" s="33"/>
      <c r="C73"/>
      <c r="D73"/>
      <c r="E73"/>
    </row>
    <row r="74" spans="1:5" x14ac:dyDescent="0.2">
      <c r="A74" s="34"/>
      <c r="B74" s="33"/>
      <c r="C74"/>
      <c r="D74"/>
      <c r="E74"/>
    </row>
    <row r="75" spans="1:5" x14ac:dyDescent="0.2">
      <c r="A75" s="34"/>
      <c r="B75" s="33"/>
      <c r="C75"/>
      <c r="D75"/>
      <c r="E75"/>
    </row>
    <row r="76" spans="1:5" x14ac:dyDescent="0.2">
      <c r="A76" s="34"/>
      <c r="B76" s="33"/>
      <c r="C76"/>
      <c r="D76"/>
      <c r="E76"/>
    </row>
    <row r="77" spans="1:5" x14ac:dyDescent="0.2">
      <c r="A77" s="34"/>
      <c r="B77" s="33"/>
      <c r="C77"/>
      <c r="D77"/>
      <c r="E77"/>
    </row>
    <row r="78" spans="1:5" x14ac:dyDescent="0.2">
      <c r="A78" s="34"/>
      <c r="B78" s="33"/>
      <c r="C78"/>
      <c r="D78"/>
      <c r="E78"/>
    </row>
    <row r="79" spans="1:5" x14ac:dyDescent="0.2">
      <c r="A79" s="34"/>
      <c r="B79" s="33"/>
      <c r="C79"/>
      <c r="D79"/>
      <c r="E79"/>
    </row>
    <row r="80" spans="1:5" x14ac:dyDescent="0.2">
      <c r="A80" s="34"/>
      <c r="B80" s="33"/>
      <c r="C80"/>
      <c r="D80"/>
      <c r="E80"/>
    </row>
  </sheetData>
  <pageMargins left="0.7" right="0.7" top="0.75" bottom="0.75" header="0.3" footer="0.3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N85"/>
  <sheetViews>
    <sheetView tabSelected="1" workbookViewId="0">
      <selection activeCell="M10" sqref="M10"/>
    </sheetView>
  </sheetViews>
  <sheetFormatPr baseColWidth="10" defaultColWidth="12.5" defaultRowHeight="15" customHeight="1" x14ac:dyDescent="0.15"/>
  <cols>
    <col min="1" max="1" width="21" bestFit="1" customWidth="1"/>
    <col min="2" max="2" width="45.5" bestFit="1" customWidth="1"/>
    <col min="3" max="3" width="39.33203125" style="5" customWidth="1"/>
    <col min="4" max="4" width="45.5" bestFit="1" customWidth="1"/>
    <col min="5" max="5" width="19.1640625" customWidth="1"/>
    <col min="6" max="6" width="22.83203125" customWidth="1"/>
    <col min="7" max="7" width="8.5" bestFit="1" customWidth="1"/>
    <col min="8" max="9" width="19.1640625" customWidth="1"/>
    <col min="10" max="10" width="7.33203125" bestFit="1" customWidth="1"/>
    <col min="11" max="11" width="8.6640625" bestFit="1" customWidth="1"/>
    <col min="12" max="12" width="8.83203125" bestFit="1" customWidth="1"/>
    <col min="13" max="13" width="19.1640625" customWidth="1"/>
    <col min="14" max="14" width="50.5" style="20" bestFit="1" customWidth="1"/>
  </cols>
  <sheetData>
    <row r="1" spans="1:14" ht="15" customHeight="1" x14ac:dyDescent="0.15">
      <c r="A1" s="13" t="s">
        <v>19</v>
      </c>
      <c r="B1" s="14" t="s">
        <v>20</v>
      </c>
    </row>
    <row r="2" spans="1:14" ht="15" customHeight="1" x14ac:dyDescent="0.15">
      <c r="A2" s="2" t="s">
        <v>15</v>
      </c>
      <c r="B2" s="4" t="s">
        <v>100</v>
      </c>
    </row>
    <row r="3" spans="1:14" ht="15" customHeight="1" x14ac:dyDescent="0.15">
      <c r="A3" s="2" t="s">
        <v>16</v>
      </c>
      <c r="B3" s="4" t="s">
        <v>0</v>
      </c>
    </row>
    <row r="4" spans="1:14" ht="15" customHeight="1" x14ac:dyDescent="0.15">
      <c r="A4" s="2" t="s">
        <v>18</v>
      </c>
      <c r="B4" s="4" t="s">
        <v>1</v>
      </c>
    </row>
    <row r="5" spans="1:14" ht="15" customHeight="1" x14ac:dyDescent="0.15">
      <c r="A5" s="2" t="s">
        <v>2</v>
      </c>
      <c r="B5" s="4">
        <v>502</v>
      </c>
    </row>
    <row r="6" spans="1:14" ht="15" customHeight="1" x14ac:dyDescent="0.15">
      <c r="A6" s="2" t="s">
        <v>95</v>
      </c>
      <c r="B6" s="4" t="s">
        <v>96</v>
      </c>
    </row>
    <row r="7" spans="1:14" s="11" customFormat="1" ht="15" customHeight="1" x14ac:dyDescent="0.15">
      <c r="A7" s="8" t="s">
        <v>98</v>
      </c>
      <c r="B7" s="8" t="s">
        <v>3</v>
      </c>
      <c r="C7" s="9" t="s">
        <v>14</v>
      </c>
      <c r="D7" s="8" t="s">
        <v>4</v>
      </c>
      <c r="E7" s="8" t="s">
        <v>17</v>
      </c>
      <c r="F7" s="8" t="s">
        <v>5</v>
      </c>
      <c r="G7" s="10" t="s">
        <v>6</v>
      </c>
      <c r="H7" s="8" t="s">
        <v>7</v>
      </c>
      <c r="I7" s="8" t="s">
        <v>92</v>
      </c>
      <c r="J7" s="8" t="s">
        <v>8</v>
      </c>
      <c r="K7" s="8" t="s">
        <v>9</v>
      </c>
      <c r="L7" s="8" t="s">
        <v>10</v>
      </c>
      <c r="M7" s="8" t="s">
        <v>11</v>
      </c>
      <c r="N7" s="8" t="s">
        <v>21</v>
      </c>
    </row>
    <row r="8" spans="1:14" s="1" customFormat="1" ht="28" x14ac:dyDescent="0.2">
      <c r="A8" s="3" t="s">
        <v>99</v>
      </c>
      <c r="B8" s="1" t="s">
        <v>72</v>
      </c>
      <c r="C8" s="6" t="s">
        <v>74</v>
      </c>
      <c r="D8" s="3" t="s">
        <v>123</v>
      </c>
      <c r="E8" s="1" t="s">
        <v>86</v>
      </c>
      <c r="F8" s="3" t="e">
        <f>IF(LEN(E8)&gt;0, IF(D8 = "Boolean", (VALUE(MID(E8,FIND(":",E8)+1,FIND("/",E8)-FIND(":",E8)-1))*16) + (VALUE(RIGHT(E8,LEN(E8)-FIND("/",E8)))), VALUE(RIGHT(E8,LEN(E8)-FIND(":",E8)))), "")</f>
        <v>#VALUE!</v>
      </c>
      <c r="G8" s="3">
        <v>1</v>
      </c>
      <c r="H8" s="3" t="s">
        <v>13</v>
      </c>
      <c r="I8" s="3" t="s">
        <v>93</v>
      </c>
      <c r="J8" s="12" t="b">
        <v>0</v>
      </c>
      <c r="K8" s="12" t="b">
        <v>0</v>
      </c>
      <c r="L8" s="12" t="b">
        <v>0</v>
      </c>
      <c r="M8" s="7" cm="1">
        <f t="array" ref="M8">_xlfn.IFS(
    ISNUMBER(SEARCH("BOOL", D8)), 1,
    ISNUMBER(SEARCH("INT", D8)), ROUND(12345/G8, 0),
    ISNUMBER(SEARCH("REAL", D8)), ROUND(12345/G8, 5)
)</f>
        <v>1</v>
      </c>
      <c r="N8" s="21" t="str">
        <f t="shared" ref="N8:N71" si="0">CONCATENATE(
    SUBSTITUTE(
        SUBSTITUTE(
            IF(
                H8 = "Read Only",
                CONCATENATE("_",
                    IF(J8 = TRUE, "A-", ""),
                    IF(K8 = TRUE, "H-", ""),
                    IF(L8 = TRUE, "D", ""),
                    "_",
                    SUBSTITUTE(
                        IF($B$6="CAPITALIZE ALL",
                            UPPER(TRIM(B8)),
                            IF($B$6="Upper Case Words",
                                PROPER(TRIM(B8)),
                                TRIM(B8)
                            )
                        ),
                        " ", "_"
                    )
                ),
                _xlfn.CONCAT("CMD_",
                    SUBSTITUTE(
                        IF($B$6="CAPITALIZE ALL",
                            UPPER(TRIM(B8)),
                            IF($B$6="Upper Case Words",
                                PROPER(TRIM(B8)),
                                TRIM(B8)
                            )
                        ),
                        " ", "_"
                    )
                )
            ),
            "-_", "_"
        ),
        "__", ""
    ),
    IF(
        AND(
            OR(ISNUMBER(SEARCH("INT", D8)), ISNUMBER(SEARCH("REAL", D8))),
            G8 &gt; 1
        ),
        _xlfn.CONCAT("_x", G8),
        ""
    )
)</f>
        <v>EXAMPLE_BOOLEAN_FOR_MICROLOGIX</v>
      </c>
    </row>
    <row r="9" spans="1:14" s="1" customFormat="1" ht="28" x14ac:dyDescent="0.2">
      <c r="A9" s="3" t="s">
        <v>99</v>
      </c>
      <c r="B9" s="1" t="s">
        <v>71</v>
      </c>
      <c r="C9" s="6" t="s">
        <v>75</v>
      </c>
      <c r="D9" s="3" t="s">
        <v>128</v>
      </c>
      <c r="E9" s="1" t="s">
        <v>87</v>
      </c>
      <c r="F9" s="3">
        <f>IF(LEN(E9)&gt;0, IF(D9 = "Boolean", (VALUE(MID(E9,FIND(":",E9)+1,FIND("/",E9)-FIND(":",E9)-1))*16) + (VALUE(RIGHT(E9,LEN(E9)-FIND("/",E9)))), VALUE(RIGHT(E9,LEN(E9)-FIND(":",E9)))), "")</f>
        <v>5</v>
      </c>
      <c r="G9" s="3">
        <v>1</v>
      </c>
      <c r="H9" s="3" t="s">
        <v>13</v>
      </c>
      <c r="I9" s="3" t="s">
        <v>94</v>
      </c>
      <c r="J9" s="12" t="b">
        <v>0</v>
      </c>
      <c r="K9" s="12" t="b">
        <v>0</v>
      </c>
      <c r="L9" s="12" t="b">
        <v>0</v>
      </c>
      <c r="M9" s="7" cm="1">
        <f t="array" ref="M9">_xlfn.IFS(
    ISNUMBER(SEARCH("BOOL", D9)), 1,
    ISNUMBER(SEARCH("INT", D9)), ROUND(12345/G9, 0),
    ISNUMBER(SEARCH("REAL", D9)), ROUND(12345/G9, 5)
)</f>
        <v>12345</v>
      </c>
      <c r="N9" s="21" t="str">
        <f t="shared" si="0"/>
        <v>EXAMPLE_INTEGER_FOR_MICROLOGIX</v>
      </c>
    </row>
    <row r="10" spans="1:14" s="1" customFormat="1" ht="98" x14ac:dyDescent="0.2">
      <c r="A10" s="3" t="s">
        <v>99</v>
      </c>
      <c r="B10" s="1" t="s">
        <v>73</v>
      </c>
      <c r="C10" s="6" t="s">
        <v>76</v>
      </c>
      <c r="D10" s="3" t="s">
        <v>132</v>
      </c>
      <c r="E10" s="1" t="s">
        <v>88</v>
      </c>
      <c r="F10" s="3">
        <f>IF(LEN(E10)&gt;0, IF(D10 = "Boolean", (VALUE(MID(E10,FIND(":",E10)+1,FIND("/",E10)-FIND(":",E10)-1))*16) + (VALUE(RIGHT(E10,LEN(E10)-FIND("/",E10)))), VALUE(RIGHT(E10,LEN(E10)-FIND(":",E10)))), "")</f>
        <v>6</v>
      </c>
      <c r="G10" s="3">
        <v>100</v>
      </c>
      <c r="H10" s="3" t="s">
        <v>13</v>
      </c>
      <c r="I10" s="3" t="s">
        <v>93</v>
      </c>
      <c r="J10" s="12" t="b">
        <v>0</v>
      </c>
      <c r="K10" s="12" t="b">
        <v>0</v>
      </c>
      <c r="L10" s="12" t="b">
        <v>0</v>
      </c>
      <c r="M10" s="7" cm="1">
        <f t="array" ref="M10">_xlfn.IFS(
    ISNUMBER(SEARCH("BOOL", D10)), 1,
    ISNUMBER(SEARCH("INT", D10)), ROUND(12345/G10, 0),
    ISNUMBER(SEARCH("REAL", D10)), ROUND(12345/G10, 5)
)</f>
        <v>123</v>
      </c>
      <c r="N10" s="21" t="str">
        <f t="shared" si="0"/>
        <v>EXAMPLE_FLOAT_FOR_MICROLOGIX_x100</v>
      </c>
    </row>
    <row r="11" spans="1:14" s="1" customFormat="1" ht="56" x14ac:dyDescent="0.2">
      <c r="A11" s="3" t="s">
        <v>99</v>
      </c>
      <c r="B11" s="1" t="s">
        <v>83</v>
      </c>
      <c r="C11" s="6" t="s">
        <v>85</v>
      </c>
      <c r="D11" s="3" t="s">
        <v>145</v>
      </c>
      <c r="E11" s="1" t="s">
        <v>89</v>
      </c>
      <c r="F11" s="3">
        <f>IF(LEN(E11)&gt;0, IF(D11 = "Boolean", (VALUE(MID(E11,FIND(":",E11)+1,FIND("/",E11)-FIND(":",E11)-1))*16) + (VALUE(RIGHT(E11,LEN(E11)-FIND("/",E11)))), VALUE(RIGHT(E11,LEN(E11)-FIND(":",E11)))), "")</f>
        <v>7</v>
      </c>
      <c r="G11" s="3">
        <v>1</v>
      </c>
      <c r="H11" s="3" t="s">
        <v>13</v>
      </c>
      <c r="I11" s="3" t="s">
        <v>93</v>
      </c>
      <c r="J11" s="12" t="b">
        <v>0</v>
      </c>
      <c r="K11" s="12" t="b">
        <v>0</v>
      </c>
      <c r="L11" s="12" t="b">
        <v>0</v>
      </c>
      <c r="M11" s="7" cm="1">
        <f t="array" ref="M11">_xlfn.IFS(
    ISNUMBER(SEARCH("BOOL", D11)), 1,
    ISNUMBER(SEARCH("INT", D11)), ROUND(12345/G11, 0),
    ISNUMBER(SEARCH("REAL", D11)), ROUND(12345/G11, 5)
)</f>
        <v>12345</v>
      </c>
      <c r="N11" s="21" t="str">
        <f t="shared" si="0"/>
        <v>EXAMPLE_FLOW_TOTAL_FOR_MICROLOGIX</v>
      </c>
    </row>
    <row r="12" spans="1:14" s="1" customFormat="1" ht="70" x14ac:dyDescent="0.2">
      <c r="A12" s="3" t="s">
        <v>99</v>
      </c>
      <c r="B12" s="1" t="s">
        <v>84</v>
      </c>
      <c r="C12" s="6" t="s">
        <v>97</v>
      </c>
      <c r="D12" s="3" t="s">
        <v>140</v>
      </c>
      <c r="E12" s="1" t="s">
        <v>90</v>
      </c>
      <c r="F12" s="3">
        <f>IF(LEN(E12)&gt;0, IF(D12 = "Boolean", (VALUE(MID(E12,FIND(":",E12)+1,FIND("/",E12)-FIND(":",E12)-1))*16) + (VALUE(RIGHT(E12,LEN(E12)-FIND("/",E12)))), VALUE(RIGHT(E12,LEN(E12)-FIND(":",E12)))), "")</f>
        <v>9</v>
      </c>
      <c r="G12" s="3">
        <v>10</v>
      </c>
      <c r="H12" s="3" t="s">
        <v>13</v>
      </c>
      <c r="I12" s="3" t="s">
        <v>93</v>
      </c>
      <c r="J12" s="12" t="b">
        <v>0</v>
      </c>
      <c r="K12" s="12" t="b">
        <v>0</v>
      </c>
      <c r="L12" s="12" t="b">
        <v>0</v>
      </c>
      <c r="M12" s="7" cm="1">
        <f t="array" ref="M12">_xlfn.IFS(
    ISNUMBER(SEARCH("BOOL", D12)), 1,
    ISNUMBER(SEARCH("INT", D12)), ROUND(12345/G12, 0),
    ISNUMBER(SEARCH("REAL", D12)), ROUND(12345/G12, 5)
)</f>
        <v>1235</v>
      </c>
      <c r="N12" s="21" t="str">
        <f t="shared" si="0"/>
        <v>EXAMPLE_RUNTIME_FOR_MICROLOGIX_x10</v>
      </c>
    </row>
    <row r="13" spans="1:14" s="1" customFormat="1" ht="56" x14ac:dyDescent="0.2">
      <c r="A13" s="3" t="s">
        <v>99</v>
      </c>
      <c r="B13" s="1" t="s">
        <v>78</v>
      </c>
      <c r="C13" s="6" t="s">
        <v>77</v>
      </c>
      <c r="D13" s="3" t="s">
        <v>124</v>
      </c>
      <c r="F13" s="3">
        <v>11.6</v>
      </c>
      <c r="G13" s="3">
        <v>1</v>
      </c>
      <c r="H13" s="3" t="s">
        <v>13</v>
      </c>
      <c r="I13" s="3" t="s">
        <v>93</v>
      </c>
      <c r="J13" s="12" t="b">
        <v>0</v>
      </c>
      <c r="K13" s="12" t="b">
        <v>0</v>
      </c>
      <c r="L13" s="12" t="b">
        <v>0</v>
      </c>
      <c r="M13" s="7" cm="1">
        <f t="array" ref="M13">_xlfn.IFS(
    ISNUMBER(SEARCH("BOOL", D13)), 1,
    ISNUMBER(SEARCH("INT", D13)), ROUND(12345/G13, 0),
    ISNUMBER(SEARCH("REAL", D13)), ROUND(12345/G13, 5)
)</f>
        <v>1</v>
      </c>
      <c r="N13" s="21" t="str">
        <f t="shared" si="0"/>
        <v>EXAMPLE_BOOLEAN_FOR_MICRO_OR_COMPACT</v>
      </c>
    </row>
    <row r="14" spans="1:14" s="1" customFormat="1" ht="56" x14ac:dyDescent="0.2">
      <c r="A14" s="3" t="s">
        <v>99</v>
      </c>
      <c r="B14" s="1" t="s">
        <v>79</v>
      </c>
      <c r="C14" s="6" t="s">
        <v>80</v>
      </c>
      <c r="D14" s="3" t="s">
        <v>145</v>
      </c>
      <c r="F14" s="3">
        <v>0</v>
      </c>
      <c r="G14" s="3">
        <v>1</v>
      </c>
      <c r="H14" s="3" t="s">
        <v>13</v>
      </c>
      <c r="I14" s="3" t="s">
        <v>93</v>
      </c>
      <c r="J14" s="12" t="b">
        <v>0</v>
      </c>
      <c r="K14" s="12" t="b">
        <v>0</v>
      </c>
      <c r="L14" s="12" t="b">
        <v>0</v>
      </c>
      <c r="M14" s="7" cm="1">
        <f t="array" ref="M14">_xlfn.IFS(
    ISNUMBER(SEARCH("BOOL", D14)), 1,
    ISNUMBER(SEARCH("INT", D14)), ROUND(12345/G14, 0),
    ISNUMBER(SEARCH("REAL", D14)), ROUND(12345/G14, 5)
)</f>
        <v>12345</v>
      </c>
      <c r="N14" s="21" t="str">
        <f t="shared" si="0"/>
        <v>EXAMPLE_INTEGER_FOR_MICRO_OR_COMPACT</v>
      </c>
    </row>
    <row r="15" spans="1:14" s="1" customFormat="1" ht="70" x14ac:dyDescent="0.2">
      <c r="A15" s="3" t="s">
        <v>99</v>
      </c>
      <c r="B15" s="1" t="s">
        <v>81</v>
      </c>
      <c r="C15" s="6" t="s">
        <v>82</v>
      </c>
      <c r="D15" s="3" t="s">
        <v>148</v>
      </c>
      <c r="F15" s="3">
        <v>2</v>
      </c>
      <c r="G15" s="3">
        <v>1</v>
      </c>
      <c r="H15" s="3" t="s">
        <v>13</v>
      </c>
      <c r="I15" s="3" t="s">
        <v>93</v>
      </c>
      <c r="J15" s="12" t="b">
        <v>0</v>
      </c>
      <c r="K15" s="12" t="b">
        <v>0</v>
      </c>
      <c r="L15" s="12" t="b">
        <v>0</v>
      </c>
      <c r="M15" s="7" cm="1">
        <f t="array" ref="M15">_xlfn.IFS(
    ISNUMBER(SEARCH("BOOL", D15)), 1,
    ISNUMBER(SEARCH("INT", D15)), ROUND(12345/G15, 0),
    ISNUMBER(SEARCH("REAL", D15)), ROUND(12345/G15, 5)
)</f>
        <v>12345</v>
      </c>
      <c r="N15" s="21" t="str">
        <f t="shared" si="0"/>
        <v>EXAMPLE_FLOAT_FOR_MICRO_OR_COMPACT</v>
      </c>
    </row>
    <row r="16" spans="1:14" s="1" customFormat="1" ht="15" customHeight="1" x14ac:dyDescent="0.2">
      <c r="A16" s="3"/>
      <c r="C16" s="6"/>
      <c r="D16" s="3" t="s">
        <v>12</v>
      </c>
      <c r="F16" s="3" t="str">
        <f t="shared" ref="F16:F46" si="1">IF(LEN(E16)&gt;0, IF(D16 = "Boolean", (VALUE(MID(E16,FIND(":",E16)+1,FIND("/",E16)-FIND(":",E16)-1))*16) + (VALUE(RIGHT(E16,LEN(E16)-FIND("/",E16)))), VALUE(RIGHT(E16,LEN(E16)-FIND(":",E16)))), "")</f>
        <v/>
      </c>
      <c r="G16" s="3">
        <v>1</v>
      </c>
      <c r="H16" s="3" t="s">
        <v>13</v>
      </c>
      <c r="I16" s="3" t="s">
        <v>93</v>
      </c>
      <c r="J16" s="12" t="b">
        <v>0</v>
      </c>
      <c r="K16" s="12" t="b">
        <v>0</v>
      </c>
      <c r="L16" s="12" t="b">
        <v>0</v>
      </c>
      <c r="M16" s="7" cm="1">
        <f t="array" ref="M16">_xlfn.IFS(
    ISNUMBER(SEARCH("BOOL", D16)), 1,
    ISNUMBER(SEARCH("INT", D16)), ROUND(12345/G16, 0),
    ISNUMBER(SEARCH("REAL", D16)), ROUND(12345/G16, 5)
)</f>
        <v>1</v>
      </c>
      <c r="N16" s="21" t="str">
        <f t="shared" si="0"/>
        <v/>
      </c>
    </row>
    <row r="17" spans="1:14" s="1" customFormat="1" ht="15" customHeight="1" x14ac:dyDescent="0.2">
      <c r="A17" s="3"/>
      <c r="C17" s="6"/>
      <c r="D17" s="3" t="s">
        <v>12</v>
      </c>
      <c r="F17" s="3" t="str">
        <f t="shared" si="1"/>
        <v/>
      </c>
      <c r="G17" s="3">
        <v>1</v>
      </c>
      <c r="H17" s="3" t="s">
        <v>13</v>
      </c>
      <c r="I17" s="3" t="s">
        <v>93</v>
      </c>
      <c r="J17" s="12" t="b">
        <v>0</v>
      </c>
      <c r="K17" s="12" t="b">
        <v>0</v>
      </c>
      <c r="L17" s="12" t="b">
        <v>0</v>
      </c>
      <c r="M17" s="7" cm="1">
        <f t="array" ref="M17">_xlfn.IFS(
    ISNUMBER(SEARCH("BOOL", D17)), 1,
    ISNUMBER(SEARCH("INT", D17)), ROUND(12345/G17, 0),
    ISNUMBER(SEARCH("REAL", D17)), ROUND(12345/G17, 5)
)</f>
        <v>1</v>
      </c>
      <c r="N17" s="21" t="str">
        <f t="shared" si="0"/>
        <v/>
      </c>
    </row>
    <row r="18" spans="1:14" s="1" customFormat="1" ht="15" customHeight="1" x14ac:dyDescent="0.2">
      <c r="A18" s="3"/>
      <c r="C18" s="6"/>
      <c r="D18" s="3" t="s">
        <v>12</v>
      </c>
      <c r="F18" s="3" t="str">
        <f t="shared" si="1"/>
        <v/>
      </c>
      <c r="G18" s="3">
        <v>1</v>
      </c>
      <c r="H18" s="3" t="s">
        <v>13</v>
      </c>
      <c r="I18" s="3" t="s">
        <v>93</v>
      </c>
      <c r="J18" s="12" t="b">
        <v>0</v>
      </c>
      <c r="K18" s="12" t="b">
        <v>0</v>
      </c>
      <c r="L18" s="12" t="b">
        <v>0</v>
      </c>
      <c r="M18" s="7" cm="1">
        <f t="array" ref="M18">_xlfn.IFS(
    ISNUMBER(SEARCH("BOOL", D18)), 1,
    ISNUMBER(SEARCH("INT", D18)), ROUND(12345/G18, 0),
    ISNUMBER(SEARCH("REAL", D18)), ROUND(12345/G18, 5)
)</f>
        <v>1</v>
      </c>
      <c r="N18" s="21" t="str">
        <f t="shared" si="0"/>
        <v/>
      </c>
    </row>
    <row r="19" spans="1:14" s="1" customFormat="1" ht="15" customHeight="1" x14ac:dyDescent="0.2">
      <c r="A19" s="3"/>
      <c r="C19" s="6"/>
      <c r="D19" s="3" t="s">
        <v>12</v>
      </c>
      <c r="F19" s="3" t="str">
        <f t="shared" si="1"/>
        <v/>
      </c>
      <c r="G19" s="3">
        <v>1</v>
      </c>
      <c r="H19" s="3" t="s">
        <v>13</v>
      </c>
      <c r="I19" s="3" t="s">
        <v>93</v>
      </c>
      <c r="J19" s="12" t="b">
        <v>0</v>
      </c>
      <c r="K19" s="12" t="b">
        <v>0</v>
      </c>
      <c r="L19" s="12" t="b">
        <v>0</v>
      </c>
      <c r="M19" s="7" cm="1">
        <f t="array" ref="M19">_xlfn.IFS(
    ISNUMBER(SEARCH("BOOL", D19)), 1,
    ISNUMBER(SEARCH("INT", D19)), ROUND(12345/G19, 0),
    ISNUMBER(SEARCH("REAL", D19)), ROUND(12345/G19, 5)
)</f>
        <v>1</v>
      </c>
      <c r="N19" s="21" t="str">
        <f t="shared" si="0"/>
        <v/>
      </c>
    </row>
    <row r="20" spans="1:14" s="1" customFormat="1" ht="15" customHeight="1" x14ac:dyDescent="0.2">
      <c r="A20" s="3"/>
      <c r="C20" s="6"/>
      <c r="D20" s="3" t="s">
        <v>12</v>
      </c>
      <c r="F20" s="3" t="str">
        <f t="shared" si="1"/>
        <v/>
      </c>
      <c r="G20" s="3">
        <v>1</v>
      </c>
      <c r="H20" s="3" t="s">
        <v>13</v>
      </c>
      <c r="I20" s="3" t="s">
        <v>93</v>
      </c>
      <c r="J20" s="12" t="b">
        <v>0</v>
      </c>
      <c r="K20" s="12" t="b">
        <v>0</v>
      </c>
      <c r="L20" s="12" t="b">
        <v>0</v>
      </c>
      <c r="M20" s="7" cm="1">
        <f t="array" ref="M20">_xlfn.IFS(
    ISNUMBER(SEARCH("BOOL", D20)), 1,
    ISNUMBER(SEARCH("INT", D20)), ROUND(12345/G20, 0),
    ISNUMBER(SEARCH("REAL", D20)), ROUND(12345/G20, 5)
)</f>
        <v>1</v>
      </c>
      <c r="N20" s="21" t="str">
        <f t="shared" si="0"/>
        <v/>
      </c>
    </row>
    <row r="21" spans="1:14" s="1" customFormat="1" ht="15" customHeight="1" x14ac:dyDescent="0.2">
      <c r="A21" s="3"/>
      <c r="C21" s="6"/>
      <c r="D21" s="3" t="s">
        <v>12</v>
      </c>
      <c r="F21" s="3" t="str">
        <f t="shared" si="1"/>
        <v/>
      </c>
      <c r="G21" s="3">
        <v>1</v>
      </c>
      <c r="H21" s="3" t="s">
        <v>13</v>
      </c>
      <c r="I21" s="3" t="s">
        <v>93</v>
      </c>
      <c r="J21" s="12" t="b">
        <v>0</v>
      </c>
      <c r="K21" s="12" t="b">
        <v>0</v>
      </c>
      <c r="L21" s="12" t="b">
        <v>0</v>
      </c>
      <c r="M21" s="7" cm="1">
        <f t="array" ref="M21">_xlfn.IFS(
    ISNUMBER(SEARCH("BOOL", D21)), 1,
    ISNUMBER(SEARCH("INT", D21)), ROUND(12345/G21, 0),
    ISNUMBER(SEARCH("REAL", D21)), ROUND(12345/G21, 5)
)</f>
        <v>1</v>
      </c>
      <c r="N21" s="21" t="str">
        <f t="shared" si="0"/>
        <v/>
      </c>
    </row>
    <row r="22" spans="1:14" s="1" customFormat="1" ht="15" customHeight="1" x14ac:dyDescent="0.2">
      <c r="A22" s="3"/>
      <c r="C22" s="6"/>
      <c r="D22" s="3" t="s">
        <v>12</v>
      </c>
      <c r="F22" s="3" t="str">
        <f t="shared" si="1"/>
        <v/>
      </c>
      <c r="G22" s="3">
        <v>1</v>
      </c>
      <c r="H22" s="3" t="s">
        <v>13</v>
      </c>
      <c r="I22" s="3" t="s">
        <v>93</v>
      </c>
      <c r="J22" s="12" t="b">
        <v>0</v>
      </c>
      <c r="K22" s="12" t="b">
        <v>0</v>
      </c>
      <c r="L22" s="12" t="b">
        <v>0</v>
      </c>
      <c r="M22" s="7" cm="1">
        <f t="array" ref="M22">_xlfn.IFS(
    ISNUMBER(SEARCH("BOOL", D22)), 1,
    ISNUMBER(SEARCH("INT", D22)), ROUND(12345/G22, 0),
    ISNUMBER(SEARCH("REAL", D22)), ROUND(12345/G22, 5)
)</f>
        <v>1</v>
      </c>
      <c r="N22" s="21" t="str">
        <f t="shared" si="0"/>
        <v/>
      </c>
    </row>
    <row r="23" spans="1:14" s="1" customFormat="1" ht="15" customHeight="1" x14ac:dyDescent="0.2">
      <c r="A23" s="3"/>
      <c r="C23" s="6"/>
      <c r="D23" s="3" t="s">
        <v>12</v>
      </c>
      <c r="F23" s="3" t="str">
        <f t="shared" si="1"/>
        <v/>
      </c>
      <c r="G23" s="3">
        <v>1</v>
      </c>
      <c r="H23" s="3" t="s">
        <v>13</v>
      </c>
      <c r="I23" s="3" t="s">
        <v>93</v>
      </c>
      <c r="J23" s="12" t="b">
        <v>0</v>
      </c>
      <c r="K23" s="12" t="b">
        <v>0</v>
      </c>
      <c r="L23" s="12" t="b">
        <v>0</v>
      </c>
      <c r="M23" s="7" cm="1">
        <f t="array" ref="M23">_xlfn.IFS(
    ISNUMBER(SEARCH("BOOL", D23)), 1,
    ISNUMBER(SEARCH("INT", D23)), ROUND(12345/G23, 0),
    ISNUMBER(SEARCH("REAL", D23)), ROUND(12345/G23, 5)
)</f>
        <v>1</v>
      </c>
      <c r="N23" s="21" t="str">
        <f t="shared" si="0"/>
        <v/>
      </c>
    </row>
    <row r="24" spans="1:14" s="1" customFormat="1" ht="15" customHeight="1" x14ac:dyDescent="0.2">
      <c r="A24" s="3"/>
      <c r="C24" s="6"/>
      <c r="D24" s="3" t="s">
        <v>12</v>
      </c>
      <c r="F24" s="3" t="str">
        <f t="shared" si="1"/>
        <v/>
      </c>
      <c r="G24" s="3">
        <v>1</v>
      </c>
      <c r="H24" s="3" t="s">
        <v>13</v>
      </c>
      <c r="I24" s="3" t="s">
        <v>93</v>
      </c>
      <c r="J24" s="12" t="b">
        <v>0</v>
      </c>
      <c r="K24" s="12" t="b">
        <v>0</v>
      </c>
      <c r="L24" s="12" t="b">
        <v>0</v>
      </c>
      <c r="M24" s="7" cm="1">
        <f t="array" ref="M24">_xlfn.IFS(
    ISNUMBER(SEARCH("BOOL", D24)), 1,
    ISNUMBER(SEARCH("INT", D24)), ROUND(12345/G24, 0),
    ISNUMBER(SEARCH("REAL", D24)), ROUND(12345/G24, 5)
)</f>
        <v>1</v>
      </c>
      <c r="N24" s="21" t="str">
        <f t="shared" si="0"/>
        <v/>
      </c>
    </row>
    <row r="25" spans="1:14" s="1" customFormat="1" ht="15" customHeight="1" x14ac:dyDescent="0.2">
      <c r="A25" s="3"/>
      <c r="C25" s="6"/>
      <c r="D25" s="3" t="s">
        <v>12</v>
      </c>
      <c r="F25" s="3" t="str">
        <f t="shared" si="1"/>
        <v/>
      </c>
      <c r="G25" s="3">
        <v>1</v>
      </c>
      <c r="H25" s="3" t="s">
        <v>13</v>
      </c>
      <c r="I25" s="3" t="s">
        <v>93</v>
      </c>
      <c r="J25" s="12" t="b">
        <v>0</v>
      </c>
      <c r="K25" s="12" t="b">
        <v>0</v>
      </c>
      <c r="L25" s="12" t="b">
        <v>0</v>
      </c>
      <c r="M25" s="7" cm="1">
        <f t="array" ref="M25">_xlfn.IFS(
    ISNUMBER(SEARCH("BOOL", D25)), 1,
    ISNUMBER(SEARCH("INT", D25)), ROUND(12345/G25, 0),
    ISNUMBER(SEARCH("REAL", D25)), ROUND(12345/G25, 5)
)</f>
        <v>1</v>
      </c>
      <c r="N25" s="21" t="str">
        <f t="shared" si="0"/>
        <v/>
      </c>
    </row>
    <row r="26" spans="1:14" s="1" customFormat="1" ht="15" customHeight="1" x14ac:dyDescent="0.2">
      <c r="A26" s="3"/>
      <c r="C26" s="6"/>
      <c r="D26" s="3" t="s">
        <v>12</v>
      </c>
      <c r="F26" s="3" t="str">
        <f t="shared" si="1"/>
        <v/>
      </c>
      <c r="G26" s="3">
        <v>1</v>
      </c>
      <c r="H26" s="3" t="s">
        <v>13</v>
      </c>
      <c r="I26" s="3" t="s">
        <v>93</v>
      </c>
      <c r="J26" s="12" t="b">
        <v>0</v>
      </c>
      <c r="K26" s="12" t="b">
        <v>0</v>
      </c>
      <c r="L26" s="12" t="b">
        <v>0</v>
      </c>
      <c r="M26" s="7" cm="1">
        <f t="array" ref="M26">_xlfn.IFS(
    ISNUMBER(SEARCH("BOOL", D26)), 1,
    ISNUMBER(SEARCH("INT", D26)), ROUND(12345/G26, 0),
    ISNUMBER(SEARCH("REAL", D26)), ROUND(12345/G26, 5)
)</f>
        <v>1</v>
      </c>
      <c r="N26" s="21" t="str">
        <f t="shared" si="0"/>
        <v/>
      </c>
    </row>
    <row r="27" spans="1:14" s="1" customFormat="1" ht="15" customHeight="1" x14ac:dyDescent="0.2">
      <c r="A27" s="3"/>
      <c r="C27" s="6"/>
      <c r="D27" s="3" t="s">
        <v>12</v>
      </c>
      <c r="F27" s="3" t="str">
        <f t="shared" si="1"/>
        <v/>
      </c>
      <c r="G27" s="3">
        <v>1</v>
      </c>
      <c r="H27" s="3" t="s">
        <v>13</v>
      </c>
      <c r="I27" s="3" t="s">
        <v>93</v>
      </c>
      <c r="J27" s="12" t="b">
        <v>0</v>
      </c>
      <c r="K27" s="12" t="b">
        <v>0</v>
      </c>
      <c r="L27" s="12" t="b">
        <v>0</v>
      </c>
      <c r="M27" s="7" cm="1">
        <f t="array" ref="M27">_xlfn.IFS(
    ISNUMBER(SEARCH("BOOL", D27)), 1,
    ISNUMBER(SEARCH("INT", D27)), ROUND(12345/G27, 0),
    ISNUMBER(SEARCH("REAL", D27)), ROUND(12345/G27, 5)
)</f>
        <v>1</v>
      </c>
      <c r="N27" s="21" t="str">
        <f t="shared" si="0"/>
        <v/>
      </c>
    </row>
    <row r="28" spans="1:14" s="1" customFormat="1" ht="15" customHeight="1" x14ac:dyDescent="0.2">
      <c r="A28" s="3"/>
      <c r="C28" s="6"/>
      <c r="D28" s="3" t="s">
        <v>12</v>
      </c>
      <c r="F28" s="3" t="str">
        <f t="shared" si="1"/>
        <v/>
      </c>
      <c r="G28" s="3">
        <v>1</v>
      </c>
      <c r="H28" s="3" t="s">
        <v>13</v>
      </c>
      <c r="I28" s="3" t="s">
        <v>93</v>
      </c>
      <c r="J28" s="12" t="b">
        <v>0</v>
      </c>
      <c r="K28" s="12" t="b">
        <v>0</v>
      </c>
      <c r="L28" s="12" t="b">
        <v>0</v>
      </c>
      <c r="M28" s="7" cm="1">
        <f t="array" ref="M28">_xlfn.IFS(
    ISNUMBER(SEARCH("BOOL", D28)), 1,
    ISNUMBER(SEARCH("INT", D28)), ROUND(12345/G28, 0),
    ISNUMBER(SEARCH("REAL", D28)), ROUND(12345/G28, 5)
)</f>
        <v>1</v>
      </c>
      <c r="N28" s="21" t="str">
        <f t="shared" si="0"/>
        <v/>
      </c>
    </row>
    <row r="29" spans="1:14" s="1" customFormat="1" ht="15" customHeight="1" x14ac:dyDescent="0.2">
      <c r="A29" s="3"/>
      <c r="C29" s="6"/>
      <c r="D29" s="3" t="s">
        <v>12</v>
      </c>
      <c r="F29" s="3" t="str">
        <f t="shared" si="1"/>
        <v/>
      </c>
      <c r="G29" s="3">
        <v>1</v>
      </c>
      <c r="H29" s="3" t="s">
        <v>13</v>
      </c>
      <c r="I29" s="3" t="s">
        <v>93</v>
      </c>
      <c r="J29" s="12" t="b">
        <v>0</v>
      </c>
      <c r="K29" s="12" t="b">
        <v>0</v>
      </c>
      <c r="L29" s="12" t="b">
        <v>0</v>
      </c>
      <c r="M29" s="7" cm="1">
        <f t="array" ref="M29">_xlfn.IFS(
    ISNUMBER(SEARCH("BOOL", D29)), 1,
    ISNUMBER(SEARCH("INT", D29)), ROUND(12345/G29, 0),
    ISNUMBER(SEARCH("REAL", D29)), ROUND(12345/G29, 5)
)</f>
        <v>1</v>
      </c>
      <c r="N29" s="21" t="str">
        <f t="shared" si="0"/>
        <v/>
      </c>
    </row>
    <row r="30" spans="1:14" s="1" customFormat="1" ht="15" customHeight="1" x14ac:dyDescent="0.2">
      <c r="A30" s="3"/>
      <c r="C30" s="6"/>
      <c r="D30" s="3" t="s">
        <v>12</v>
      </c>
      <c r="F30" s="3" t="str">
        <f t="shared" si="1"/>
        <v/>
      </c>
      <c r="G30" s="3">
        <v>1</v>
      </c>
      <c r="H30" s="3" t="s">
        <v>13</v>
      </c>
      <c r="I30" s="3" t="s">
        <v>93</v>
      </c>
      <c r="J30" s="12" t="b">
        <v>0</v>
      </c>
      <c r="K30" s="12" t="b">
        <v>0</v>
      </c>
      <c r="L30" s="12" t="b">
        <v>0</v>
      </c>
      <c r="M30" s="7" cm="1">
        <f t="array" ref="M30">_xlfn.IFS(
    ISNUMBER(SEARCH("BOOL", D30)), 1,
    ISNUMBER(SEARCH("INT", D30)), ROUND(12345/G30, 0),
    ISNUMBER(SEARCH("REAL", D30)), ROUND(12345/G30, 5)
)</f>
        <v>1</v>
      </c>
      <c r="N30" s="21" t="str">
        <f t="shared" si="0"/>
        <v/>
      </c>
    </row>
    <row r="31" spans="1:14" s="1" customFormat="1" ht="15" customHeight="1" x14ac:dyDescent="0.2">
      <c r="A31" s="3"/>
      <c r="C31" s="6"/>
      <c r="D31" s="3" t="s">
        <v>12</v>
      </c>
      <c r="F31" s="3" t="str">
        <f t="shared" si="1"/>
        <v/>
      </c>
      <c r="G31" s="3">
        <v>1</v>
      </c>
      <c r="H31" s="3" t="s">
        <v>13</v>
      </c>
      <c r="I31" s="3" t="s">
        <v>93</v>
      </c>
      <c r="J31" s="12" t="b">
        <v>0</v>
      </c>
      <c r="K31" s="12" t="b">
        <v>0</v>
      </c>
      <c r="L31" s="12" t="b">
        <v>0</v>
      </c>
      <c r="M31" s="7" cm="1">
        <f t="array" ref="M31">_xlfn.IFS(
    ISNUMBER(SEARCH("BOOL", D31)), 1,
    ISNUMBER(SEARCH("INT", D31)), ROUND(12345/G31, 0),
    ISNUMBER(SEARCH("REAL", D31)), ROUND(12345/G31, 5)
)</f>
        <v>1</v>
      </c>
      <c r="N31" s="21" t="str">
        <f t="shared" si="0"/>
        <v/>
      </c>
    </row>
    <row r="32" spans="1:14" s="1" customFormat="1" ht="15" customHeight="1" x14ac:dyDescent="0.2">
      <c r="A32" s="3"/>
      <c r="C32" s="6"/>
      <c r="D32" s="3" t="s">
        <v>12</v>
      </c>
      <c r="F32" s="3" t="str">
        <f t="shared" si="1"/>
        <v/>
      </c>
      <c r="G32" s="3">
        <v>1</v>
      </c>
      <c r="H32" s="3" t="s">
        <v>13</v>
      </c>
      <c r="I32" s="3" t="s">
        <v>93</v>
      </c>
      <c r="J32" s="12" t="b">
        <v>0</v>
      </c>
      <c r="K32" s="12" t="b">
        <v>0</v>
      </c>
      <c r="L32" s="12" t="b">
        <v>0</v>
      </c>
      <c r="M32" s="7" cm="1">
        <f t="array" ref="M32">_xlfn.IFS(
    ISNUMBER(SEARCH("BOOL", D32)), 1,
    ISNUMBER(SEARCH("INT", D32)), ROUND(12345/G32, 0),
    ISNUMBER(SEARCH("REAL", D32)), ROUND(12345/G32, 5)
)</f>
        <v>1</v>
      </c>
      <c r="N32" s="21" t="str">
        <f t="shared" si="0"/>
        <v/>
      </c>
    </row>
    <row r="33" spans="1:14" s="1" customFormat="1" ht="15" customHeight="1" x14ac:dyDescent="0.2">
      <c r="A33" s="3"/>
      <c r="C33" s="6"/>
      <c r="D33" s="3" t="s">
        <v>12</v>
      </c>
      <c r="F33" s="3" t="str">
        <f t="shared" si="1"/>
        <v/>
      </c>
      <c r="G33" s="3">
        <v>1</v>
      </c>
      <c r="H33" s="3" t="s">
        <v>13</v>
      </c>
      <c r="I33" s="3" t="s">
        <v>93</v>
      </c>
      <c r="J33" s="12" t="b">
        <v>0</v>
      </c>
      <c r="K33" s="12" t="b">
        <v>0</v>
      </c>
      <c r="L33" s="12" t="b">
        <v>0</v>
      </c>
      <c r="M33" s="7" cm="1">
        <f t="array" ref="M33">_xlfn.IFS(
    ISNUMBER(SEARCH("BOOL", D33)), 1,
    ISNUMBER(SEARCH("INT", D33)), ROUND(12345/G33, 0),
    ISNUMBER(SEARCH("REAL", D33)), ROUND(12345/G33, 5)
)</f>
        <v>1</v>
      </c>
      <c r="N33" s="21" t="str">
        <f t="shared" si="0"/>
        <v/>
      </c>
    </row>
    <row r="34" spans="1:14" s="1" customFormat="1" ht="15" customHeight="1" x14ac:dyDescent="0.2">
      <c r="A34" s="3"/>
      <c r="C34" s="6"/>
      <c r="D34" s="3" t="s">
        <v>12</v>
      </c>
      <c r="F34" s="3" t="str">
        <f t="shared" si="1"/>
        <v/>
      </c>
      <c r="G34" s="3">
        <v>1</v>
      </c>
      <c r="H34" s="3" t="s">
        <v>13</v>
      </c>
      <c r="I34" s="3" t="s">
        <v>93</v>
      </c>
      <c r="J34" s="12" t="b">
        <v>0</v>
      </c>
      <c r="K34" s="12" t="b">
        <v>0</v>
      </c>
      <c r="L34" s="12" t="b">
        <v>0</v>
      </c>
      <c r="M34" s="7" cm="1">
        <f t="array" ref="M34">_xlfn.IFS(
    ISNUMBER(SEARCH("BOOL", D34)), 1,
    ISNUMBER(SEARCH("INT", D34)), ROUND(12345/G34, 0),
    ISNUMBER(SEARCH("REAL", D34)), ROUND(12345/G34, 5)
)</f>
        <v>1</v>
      </c>
      <c r="N34" s="21" t="str">
        <f t="shared" si="0"/>
        <v/>
      </c>
    </row>
    <row r="35" spans="1:14" s="1" customFormat="1" ht="15" customHeight="1" x14ac:dyDescent="0.2">
      <c r="A35" s="3"/>
      <c r="C35" s="6"/>
      <c r="D35" s="3" t="s">
        <v>12</v>
      </c>
      <c r="F35" s="3" t="str">
        <f t="shared" si="1"/>
        <v/>
      </c>
      <c r="G35" s="3">
        <v>1</v>
      </c>
      <c r="H35" s="3" t="s">
        <v>13</v>
      </c>
      <c r="I35" s="3" t="s">
        <v>93</v>
      </c>
      <c r="J35" s="12" t="b">
        <v>0</v>
      </c>
      <c r="K35" s="12" t="b">
        <v>0</v>
      </c>
      <c r="L35" s="12" t="b">
        <v>0</v>
      </c>
      <c r="M35" s="7" cm="1">
        <f t="array" ref="M35">_xlfn.IFS(
    ISNUMBER(SEARCH("BOOL", D35)), 1,
    ISNUMBER(SEARCH("INT", D35)), ROUND(12345/G35, 0),
    ISNUMBER(SEARCH("REAL", D35)), ROUND(12345/G35, 5)
)</f>
        <v>1</v>
      </c>
      <c r="N35" s="21" t="str">
        <f t="shared" si="0"/>
        <v/>
      </c>
    </row>
    <row r="36" spans="1:14" s="1" customFormat="1" ht="15" customHeight="1" x14ac:dyDescent="0.2">
      <c r="A36" s="3"/>
      <c r="C36" s="6"/>
      <c r="D36" s="3" t="s">
        <v>12</v>
      </c>
      <c r="F36" s="3" t="str">
        <f t="shared" si="1"/>
        <v/>
      </c>
      <c r="G36" s="3">
        <v>1</v>
      </c>
      <c r="H36" s="3" t="s">
        <v>13</v>
      </c>
      <c r="I36" s="3" t="s">
        <v>93</v>
      </c>
      <c r="J36" s="12" t="b">
        <v>0</v>
      </c>
      <c r="K36" s="12" t="b">
        <v>0</v>
      </c>
      <c r="L36" s="12" t="b">
        <v>0</v>
      </c>
      <c r="M36" s="7" cm="1">
        <f t="array" ref="M36">_xlfn.IFS(
    ISNUMBER(SEARCH("BOOL", D36)), 1,
    ISNUMBER(SEARCH("INT", D36)), ROUND(12345/G36, 0),
    ISNUMBER(SEARCH("REAL", D36)), ROUND(12345/G36, 5)
)</f>
        <v>1</v>
      </c>
      <c r="N36" s="21" t="str">
        <f t="shared" si="0"/>
        <v/>
      </c>
    </row>
    <row r="37" spans="1:14" s="1" customFormat="1" ht="15" customHeight="1" x14ac:dyDescent="0.2">
      <c r="A37" s="3"/>
      <c r="C37" s="6"/>
      <c r="D37" s="3" t="s">
        <v>12</v>
      </c>
      <c r="F37" s="3" t="str">
        <f t="shared" si="1"/>
        <v/>
      </c>
      <c r="G37" s="3">
        <v>1</v>
      </c>
      <c r="H37" s="3" t="s">
        <v>13</v>
      </c>
      <c r="I37" s="3" t="s">
        <v>93</v>
      </c>
      <c r="J37" s="12" t="b">
        <v>0</v>
      </c>
      <c r="K37" s="12" t="b">
        <v>0</v>
      </c>
      <c r="L37" s="12" t="b">
        <v>0</v>
      </c>
      <c r="M37" s="7" cm="1">
        <f t="array" ref="M37">_xlfn.IFS(
    ISNUMBER(SEARCH("BOOL", D37)), 1,
    ISNUMBER(SEARCH("INT", D37)), ROUND(12345/G37, 0),
    ISNUMBER(SEARCH("REAL", D37)), ROUND(12345/G37, 5)
)</f>
        <v>1</v>
      </c>
      <c r="N37" s="21" t="str">
        <f t="shared" si="0"/>
        <v/>
      </c>
    </row>
    <row r="38" spans="1:14" s="1" customFormat="1" ht="15" customHeight="1" x14ac:dyDescent="0.2">
      <c r="A38" s="3"/>
      <c r="C38" s="6"/>
      <c r="D38" s="3" t="s">
        <v>12</v>
      </c>
      <c r="F38" s="3" t="str">
        <f t="shared" si="1"/>
        <v/>
      </c>
      <c r="G38" s="3">
        <v>1</v>
      </c>
      <c r="H38" s="3" t="s">
        <v>13</v>
      </c>
      <c r="I38" s="3" t="s">
        <v>93</v>
      </c>
      <c r="J38" s="12" t="b">
        <v>0</v>
      </c>
      <c r="K38" s="12" t="b">
        <v>0</v>
      </c>
      <c r="L38" s="12" t="b">
        <v>0</v>
      </c>
      <c r="M38" s="7" cm="1">
        <f t="array" ref="M38">_xlfn.IFS(
    ISNUMBER(SEARCH("BOOL", D38)), 1,
    ISNUMBER(SEARCH("INT", D38)), ROUND(12345/G38, 0),
    ISNUMBER(SEARCH("REAL", D38)), ROUND(12345/G38, 5)
)</f>
        <v>1</v>
      </c>
      <c r="N38" s="21" t="str">
        <f t="shared" si="0"/>
        <v/>
      </c>
    </row>
    <row r="39" spans="1:14" s="1" customFormat="1" ht="15" customHeight="1" x14ac:dyDescent="0.2">
      <c r="A39" s="3"/>
      <c r="C39" s="6"/>
      <c r="D39" s="3" t="s">
        <v>12</v>
      </c>
      <c r="F39" s="3" t="str">
        <f t="shared" si="1"/>
        <v/>
      </c>
      <c r="G39" s="3">
        <v>1</v>
      </c>
      <c r="H39" s="3" t="s">
        <v>13</v>
      </c>
      <c r="I39" s="3" t="s">
        <v>93</v>
      </c>
      <c r="J39" s="12" t="b">
        <v>0</v>
      </c>
      <c r="K39" s="12" t="b">
        <v>0</v>
      </c>
      <c r="L39" s="12" t="b">
        <v>0</v>
      </c>
      <c r="M39" s="7" cm="1">
        <f t="array" ref="M39">_xlfn.IFS(
    ISNUMBER(SEARCH("BOOL", D39)), 1,
    ISNUMBER(SEARCH("INT", D39)), ROUND(12345/G39, 0),
    ISNUMBER(SEARCH("REAL", D39)), ROUND(12345/G39, 5)
)</f>
        <v>1</v>
      </c>
      <c r="N39" s="21" t="str">
        <f t="shared" si="0"/>
        <v/>
      </c>
    </row>
    <row r="40" spans="1:14" s="1" customFormat="1" ht="15" customHeight="1" x14ac:dyDescent="0.2">
      <c r="A40" s="3"/>
      <c r="C40" s="6"/>
      <c r="D40" s="3" t="s">
        <v>12</v>
      </c>
      <c r="F40" s="3" t="str">
        <f t="shared" si="1"/>
        <v/>
      </c>
      <c r="G40" s="3">
        <v>1</v>
      </c>
      <c r="H40" s="3" t="s">
        <v>13</v>
      </c>
      <c r="I40" s="3" t="s">
        <v>93</v>
      </c>
      <c r="J40" s="12" t="b">
        <v>0</v>
      </c>
      <c r="K40" s="12" t="b">
        <v>0</v>
      </c>
      <c r="L40" s="12" t="b">
        <v>0</v>
      </c>
      <c r="M40" s="7" cm="1">
        <f t="array" ref="M40">_xlfn.IFS(
    ISNUMBER(SEARCH("BOOL", D40)), 1,
    ISNUMBER(SEARCH("INT", D40)), ROUND(12345/G40, 0),
    ISNUMBER(SEARCH("REAL", D40)), ROUND(12345/G40, 5)
)</f>
        <v>1</v>
      </c>
      <c r="N40" s="21" t="str">
        <f t="shared" si="0"/>
        <v/>
      </c>
    </row>
    <row r="41" spans="1:14" s="1" customFormat="1" ht="15" customHeight="1" x14ac:dyDescent="0.2">
      <c r="A41" s="3"/>
      <c r="C41" s="6"/>
      <c r="D41" s="3" t="s">
        <v>12</v>
      </c>
      <c r="F41" s="3" t="str">
        <f t="shared" si="1"/>
        <v/>
      </c>
      <c r="G41" s="3">
        <v>1</v>
      </c>
      <c r="H41" s="3" t="s">
        <v>13</v>
      </c>
      <c r="I41" s="3" t="s">
        <v>93</v>
      </c>
      <c r="J41" s="12" t="b">
        <v>0</v>
      </c>
      <c r="K41" s="12" t="b">
        <v>0</v>
      </c>
      <c r="L41" s="12" t="b">
        <v>0</v>
      </c>
      <c r="M41" s="7" cm="1">
        <f t="array" ref="M41">_xlfn.IFS(
    ISNUMBER(SEARCH("BOOL", D41)), 1,
    ISNUMBER(SEARCH("INT", D41)), ROUND(12345/G41, 0),
    ISNUMBER(SEARCH("REAL", D41)), ROUND(12345/G41, 5)
)</f>
        <v>1</v>
      </c>
      <c r="N41" s="21" t="str">
        <f t="shared" si="0"/>
        <v/>
      </c>
    </row>
    <row r="42" spans="1:14" s="1" customFormat="1" ht="15" customHeight="1" x14ac:dyDescent="0.2">
      <c r="A42" s="3"/>
      <c r="C42" s="6"/>
      <c r="D42" s="3" t="s">
        <v>12</v>
      </c>
      <c r="F42" s="3" t="str">
        <f t="shared" si="1"/>
        <v/>
      </c>
      <c r="G42" s="3">
        <v>1</v>
      </c>
      <c r="H42" s="3" t="s">
        <v>13</v>
      </c>
      <c r="I42" s="3" t="s">
        <v>93</v>
      </c>
      <c r="J42" s="12" t="b">
        <v>0</v>
      </c>
      <c r="K42" s="12" t="b">
        <v>0</v>
      </c>
      <c r="L42" s="12" t="b">
        <v>0</v>
      </c>
      <c r="M42" s="7" cm="1">
        <f t="array" ref="M42">_xlfn.IFS(
    ISNUMBER(SEARCH("BOOL", D42)), 1,
    ISNUMBER(SEARCH("INT", D42)), ROUND(12345/G42, 0),
    ISNUMBER(SEARCH("REAL", D42)), ROUND(12345/G42, 5)
)</f>
        <v>1</v>
      </c>
      <c r="N42" s="21" t="str">
        <f t="shared" si="0"/>
        <v/>
      </c>
    </row>
    <row r="43" spans="1:14" s="1" customFormat="1" ht="15" customHeight="1" x14ac:dyDescent="0.2">
      <c r="A43" s="3"/>
      <c r="C43" s="6"/>
      <c r="D43" s="3" t="s">
        <v>12</v>
      </c>
      <c r="F43" s="3" t="str">
        <f t="shared" si="1"/>
        <v/>
      </c>
      <c r="G43" s="3">
        <v>1</v>
      </c>
      <c r="H43" s="3" t="s">
        <v>13</v>
      </c>
      <c r="I43" s="3" t="s">
        <v>93</v>
      </c>
      <c r="J43" s="12" t="b">
        <v>0</v>
      </c>
      <c r="K43" s="12" t="b">
        <v>0</v>
      </c>
      <c r="L43" s="12" t="b">
        <v>0</v>
      </c>
      <c r="M43" s="7" cm="1">
        <f t="array" ref="M43">_xlfn.IFS(
    ISNUMBER(SEARCH("BOOL", D43)), 1,
    ISNUMBER(SEARCH("INT", D43)), ROUND(12345/G43, 0),
    ISNUMBER(SEARCH("REAL", D43)), ROUND(12345/G43, 5)
)</f>
        <v>1</v>
      </c>
      <c r="N43" s="21" t="str">
        <f t="shared" si="0"/>
        <v/>
      </c>
    </row>
    <row r="44" spans="1:14" s="1" customFormat="1" ht="15" customHeight="1" x14ac:dyDescent="0.2">
      <c r="A44" s="3"/>
      <c r="C44" s="6"/>
      <c r="D44" s="3" t="s">
        <v>12</v>
      </c>
      <c r="F44" s="3" t="str">
        <f t="shared" si="1"/>
        <v/>
      </c>
      <c r="G44" s="3">
        <v>1</v>
      </c>
      <c r="H44" s="3" t="s">
        <v>13</v>
      </c>
      <c r="I44" s="3" t="s">
        <v>93</v>
      </c>
      <c r="J44" s="12" t="b">
        <v>0</v>
      </c>
      <c r="K44" s="12" t="b">
        <v>0</v>
      </c>
      <c r="L44" s="12" t="b">
        <v>0</v>
      </c>
      <c r="M44" s="7" cm="1">
        <f t="array" ref="M44">_xlfn.IFS(
    ISNUMBER(SEARCH("BOOL", D44)), 1,
    ISNUMBER(SEARCH("INT", D44)), ROUND(12345/G44, 0),
    ISNUMBER(SEARCH("REAL", D44)), ROUND(12345/G44, 5)
)</f>
        <v>1</v>
      </c>
      <c r="N44" s="21" t="str">
        <f t="shared" si="0"/>
        <v/>
      </c>
    </row>
    <row r="45" spans="1:14" s="1" customFormat="1" ht="15" customHeight="1" x14ac:dyDescent="0.2">
      <c r="A45" s="3"/>
      <c r="C45" s="6"/>
      <c r="D45" s="3" t="s">
        <v>12</v>
      </c>
      <c r="F45" s="3" t="str">
        <f t="shared" si="1"/>
        <v/>
      </c>
      <c r="G45" s="3">
        <v>1</v>
      </c>
      <c r="H45" s="3" t="s">
        <v>13</v>
      </c>
      <c r="I45" s="3" t="s">
        <v>93</v>
      </c>
      <c r="J45" s="12" t="b">
        <v>0</v>
      </c>
      <c r="K45" s="12" t="b">
        <v>0</v>
      </c>
      <c r="L45" s="12" t="b">
        <v>0</v>
      </c>
      <c r="M45" s="7" cm="1">
        <f t="array" ref="M45">_xlfn.IFS(
    ISNUMBER(SEARCH("BOOL", D45)), 1,
    ISNUMBER(SEARCH("INT", D45)), ROUND(12345/G45, 0),
    ISNUMBER(SEARCH("REAL", D45)), ROUND(12345/G45, 5)
)</f>
        <v>1</v>
      </c>
      <c r="N45" s="21" t="str">
        <f t="shared" si="0"/>
        <v/>
      </c>
    </row>
    <row r="46" spans="1:14" s="1" customFormat="1" ht="15" customHeight="1" x14ac:dyDescent="0.2">
      <c r="A46" s="3"/>
      <c r="C46" s="6"/>
      <c r="D46" s="3" t="s">
        <v>12</v>
      </c>
      <c r="F46" s="3" t="str">
        <f t="shared" si="1"/>
        <v/>
      </c>
      <c r="G46" s="3">
        <v>1</v>
      </c>
      <c r="H46" s="3" t="s">
        <v>13</v>
      </c>
      <c r="I46" s="3" t="s">
        <v>93</v>
      </c>
      <c r="J46" s="12" t="b">
        <v>0</v>
      </c>
      <c r="K46" s="12" t="b">
        <v>0</v>
      </c>
      <c r="L46" s="12" t="b">
        <v>0</v>
      </c>
      <c r="M46" s="7" cm="1">
        <f t="array" ref="M46">_xlfn.IFS(
    ISNUMBER(SEARCH("BOOL", D46)), 1,
    ISNUMBER(SEARCH("INT", D46)), ROUND(12345/G46, 0),
    ISNUMBER(SEARCH("REAL", D46)), ROUND(12345/G46, 5)
)</f>
        <v>1</v>
      </c>
      <c r="N46" s="21" t="str">
        <f t="shared" si="0"/>
        <v/>
      </c>
    </row>
    <row r="47" spans="1:14" s="1" customFormat="1" ht="15" customHeight="1" x14ac:dyDescent="0.2">
      <c r="A47" s="3"/>
      <c r="C47" s="6"/>
      <c r="D47" s="3" t="s">
        <v>12</v>
      </c>
      <c r="F47" s="3" t="str">
        <f t="shared" ref="F47:F78" si="2">IF(LEN(E47)&gt;0, IF(D47 = "Boolean", (VALUE(MID(E47,FIND(":",E47)+1,FIND("/",E47)-FIND(":",E47)-1))*16) + (VALUE(RIGHT(E47,LEN(E47)-FIND("/",E47)))), VALUE(RIGHT(E47,LEN(E47)-FIND(":",E47)))), "")</f>
        <v/>
      </c>
      <c r="G47" s="3">
        <v>1</v>
      </c>
      <c r="H47" s="3" t="s">
        <v>13</v>
      </c>
      <c r="I47" s="3" t="s">
        <v>93</v>
      </c>
      <c r="J47" s="12" t="b">
        <v>0</v>
      </c>
      <c r="K47" s="12" t="b">
        <v>0</v>
      </c>
      <c r="L47" s="12" t="b">
        <v>0</v>
      </c>
      <c r="M47" s="7" cm="1">
        <f t="array" ref="M47">_xlfn.IFS(
    ISNUMBER(SEARCH("BOOL", D47)), 1,
    ISNUMBER(SEARCH("INT", D47)), ROUND(12345/G47, 0),
    ISNUMBER(SEARCH("REAL", D47)), ROUND(12345/G47, 5)
)</f>
        <v>1</v>
      </c>
      <c r="N47" s="21" t="str">
        <f t="shared" si="0"/>
        <v/>
      </c>
    </row>
    <row r="48" spans="1:14" s="1" customFormat="1" ht="15" customHeight="1" x14ac:dyDescent="0.2">
      <c r="A48" s="3"/>
      <c r="C48" s="6"/>
      <c r="D48" s="3" t="s">
        <v>12</v>
      </c>
      <c r="F48" s="3" t="str">
        <f t="shared" si="2"/>
        <v/>
      </c>
      <c r="G48" s="3">
        <v>1</v>
      </c>
      <c r="H48" s="3" t="s">
        <v>13</v>
      </c>
      <c r="I48" s="3" t="s">
        <v>93</v>
      </c>
      <c r="J48" s="12" t="b">
        <v>0</v>
      </c>
      <c r="K48" s="12" t="b">
        <v>0</v>
      </c>
      <c r="L48" s="12" t="b">
        <v>0</v>
      </c>
      <c r="M48" s="7" cm="1">
        <f t="array" ref="M48">_xlfn.IFS(
    ISNUMBER(SEARCH("BOOL", D48)), 1,
    ISNUMBER(SEARCH("INT", D48)), ROUND(12345/G48, 0),
    ISNUMBER(SEARCH("REAL", D48)), ROUND(12345/G48, 5)
)</f>
        <v>1</v>
      </c>
      <c r="N48" s="21" t="str">
        <f t="shared" si="0"/>
        <v/>
      </c>
    </row>
    <row r="49" spans="1:14" s="1" customFormat="1" ht="15" customHeight="1" x14ac:dyDescent="0.2">
      <c r="A49" s="3"/>
      <c r="C49" s="6"/>
      <c r="D49" s="3" t="s">
        <v>12</v>
      </c>
      <c r="F49" s="3" t="str">
        <f t="shared" si="2"/>
        <v/>
      </c>
      <c r="G49" s="3">
        <v>1</v>
      </c>
      <c r="H49" s="3" t="s">
        <v>13</v>
      </c>
      <c r="I49" s="3" t="s">
        <v>93</v>
      </c>
      <c r="J49" s="12" t="b">
        <v>0</v>
      </c>
      <c r="K49" s="12" t="b">
        <v>0</v>
      </c>
      <c r="L49" s="12" t="b">
        <v>0</v>
      </c>
      <c r="M49" s="7" cm="1">
        <f t="array" ref="M49">_xlfn.IFS(
    ISNUMBER(SEARCH("BOOL", D49)), 1,
    ISNUMBER(SEARCH("INT", D49)), ROUND(12345/G49, 0),
    ISNUMBER(SEARCH("REAL", D49)), ROUND(12345/G49, 5)
)</f>
        <v>1</v>
      </c>
      <c r="N49" s="21" t="str">
        <f t="shared" si="0"/>
        <v/>
      </c>
    </row>
    <row r="50" spans="1:14" s="1" customFormat="1" ht="15" customHeight="1" x14ac:dyDescent="0.2">
      <c r="A50" s="3"/>
      <c r="C50" s="6"/>
      <c r="D50" s="3" t="s">
        <v>12</v>
      </c>
      <c r="F50" s="3" t="str">
        <f t="shared" si="2"/>
        <v/>
      </c>
      <c r="G50" s="3">
        <v>1</v>
      </c>
      <c r="H50" s="3" t="s">
        <v>13</v>
      </c>
      <c r="I50" s="3" t="s">
        <v>93</v>
      </c>
      <c r="J50" s="12" t="b">
        <v>0</v>
      </c>
      <c r="K50" s="12" t="b">
        <v>0</v>
      </c>
      <c r="L50" s="12" t="b">
        <v>0</v>
      </c>
      <c r="M50" s="7" cm="1">
        <f t="array" ref="M50">_xlfn.IFS(
    ISNUMBER(SEARCH("BOOL", D50)), 1,
    ISNUMBER(SEARCH("INT", D50)), ROUND(12345/G50, 0),
    ISNUMBER(SEARCH("REAL", D50)), ROUND(12345/G50, 5)
)</f>
        <v>1</v>
      </c>
      <c r="N50" s="21" t="str">
        <f t="shared" si="0"/>
        <v/>
      </c>
    </row>
    <row r="51" spans="1:14" s="1" customFormat="1" ht="15" customHeight="1" x14ac:dyDescent="0.2">
      <c r="A51" s="3"/>
      <c r="C51" s="6"/>
      <c r="D51" s="3" t="s">
        <v>12</v>
      </c>
      <c r="F51" s="3" t="str">
        <f t="shared" si="2"/>
        <v/>
      </c>
      <c r="G51" s="3">
        <v>1</v>
      </c>
      <c r="H51" s="3" t="s">
        <v>13</v>
      </c>
      <c r="I51" s="3" t="s">
        <v>93</v>
      </c>
      <c r="J51" s="12" t="b">
        <v>0</v>
      </c>
      <c r="K51" s="12" t="b">
        <v>0</v>
      </c>
      <c r="L51" s="12" t="b">
        <v>0</v>
      </c>
      <c r="M51" s="7" cm="1">
        <f t="array" ref="M51">_xlfn.IFS(
    ISNUMBER(SEARCH("BOOL", D51)), 1,
    ISNUMBER(SEARCH("INT", D51)), ROUND(12345/G51, 0),
    ISNUMBER(SEARCH("REAL", D51)), ROUND(12345/G51, 5)
)</f>
        <v>1</v>
      </c>
      <c r="N51" s="21" t="str">
        <f t="shared" si="0"/>
        <v/>
      </c>
    </row>
    <row r="52" spans="1:14" s="1" customFormat="1" ht="15" customHeight="1" x14ac:dyDescent="0.2">
      <c r="A52" s="3"/>
      <c r="C52" s="6"/>
      <c r="D52" s="3" t="s">
        <v>12</v>
      </c>
      <c r="F52" s="3" t="str">
        <f t="shared" si="2"/>
        <v/>
      </c>
      <c r="G52" s="3">
        <v>1</v>
      </c>
      <c r="H52" s="3" t="s">
        <v>13</v>
      </c>
      <c r="I52" s="3" t="s">
        <v>93</v>
      </c>
      <c r="J52" s="12" t="b">
        <v>0</v>
      </c>
      <c r="K52" s="12" t="b">
        <v>0</v>
      </c>
      <c r="L52" s="12" t="b">
        <v>0</v>
      </c>
      <c r="M52" s="7" cm="1">
        <f t="array" ref="M52">_xlfn.IFS(
    ISNUMBER(SEARCH("BOOL", D52)), 1,
    ISNUMBER(SEARCH("INT", D52)), ROUND(12345/G52, 0),
    ISNUMBER(SEARCH("REAL", D52)), ROUND(12345/G52, 5)
)</f>
        <v>1</v>
      </c>
      <c r="N52" s="21" t="str">
        <f t="shared" si="0"/>
        <v/>
      </c>
    </row>
    <row r="53" spans="1:14" s="1" customFormat="1" ht="15" customHeight="1" x14ac:dyDescent="0.2">
      <c r="A53" s="3"/>
      <c r="C53" s="6"/>
      <c r="D53" s="3" t="s">
        <v>12</v>
      </c>
      <c r="F53" s="3" t="str">
        <f t="shared" si="2"/>
        <v/>
      </c>
      <c r="G53" s="3">
        <v>1</v>
      </c>
      <c r="H53" s="3" t="s">
        <v>13</v>
      </c>
      <c r="I53" s="3" t="s">
        <v>93</v>
      </c>
      <c r="J53" s="12" t="b">
        <v>0</v>
      </c>
      <c r="K53" s="12" t="b">
        <v>0</v>
      </c>
      <c r="L53" s="12" t="b">
        <v>0</v>
      </c>
      <c r="M53" s="7" cm="1">
        <f t="array" ref="M53">_xlfn.IFS(
    ISNUMBER(SEARCH("BOOL", D53)), 1,
    ISNUMBER(SEARCH("INT", D53)), ROUND(12345/G53, 0),
    ISNUMBER(SEARCH("REAL", D53)), ROUND(12345/G53, 5)
)</f>
        <v>1</v>
      </c>
      <c r="N53" s="21" t="str">
        <f t="shared" si="0"/>
        <v/>
      </c>
    </row>
    <row r="54" spans="1:14" s="1" customFormat="1" ht="15" customHeight="1" x14ac:dyDescent="0.2">
      <c r="A54" s="3"/>
      <c r="C54" s="6"/>
      <c r="D54" s="3" t="s">
        <v>12</v>
      </c>
      <c r="F54" s="3" t="str">
        <f t="shared" si="2"/>
        <v/>
      </c>
      <c r="G54" s="3">
        <v>1</v>
      </c>
      <c r="H54" s="3" t="s">
        <v>13</v>
      </c>
      <c r="I54" s="3" t="s">
        <v>93</v>
      </c>
      <c r="J54" s="12" t="b">
        <v>0</v>
      </c>
      <c r="K54" s="12" t="b">
        <v>0</v>
      </c>
      <c r="L54" s="12" t="b">
        <v>0</v>
      </c>
      <c r="M54" s="7" cm="1">
        <f t="array" ref="M54">_xlfn.IFS(
    ISNUMBER(SEARCH("BOOL", D54)), 1,
    ISNUMBER(SEARCH("INT", D54)), ROUND(12345/G54, 0),
    ISNUMBER(SEARCH("REAL", D54)), ROUND(12345/G54, 5)
)</f>
        <v>1</v>
      </c>
      <c r="N54" s="21" t="str">
        <f t="shared" si="0"/>
        <v/>
      </c>
    </row>
    <row r="55" spans="1:14" s="1" customFormat="1" ht="15" customHeight="1" x14ac:dyDescent="0.2">
      <c r="A55" s="3"/>
      <c r="C55" s="6"/>
      <c r="D55" s="3" t="s">
        <v>12</v>
      </c>
      <c r="F55" s="3" t="str">
        <f t="shared" si="2"/>
        <v/>
      </c>
      <c r="G55" s="3">
        <v>1</v>
      </c>
      <c r="H55" s="3" t="s">
        <v>13</v>
      </c>
      <c r="I55" s="3" t="s">
        <v>93</v>
      </c>
      <c r="J55" s="12" t="b">
        <v>0</v>
      </c>
      <c r="K55" s="12" t="b">
        <v>0</v>
      </c>
      <c r="L55" s="12" t="b">
        <v>0</v>
      </c>
      <c r="M55" s="7" cm="1">
        <f t="array" ref="M55">_xlfn.IFS(
    ISNUMBER(SEARCH("BOOL", D55)), 1,
    ISNUMBER(SEARCH("INT", D55)), ROUND(12345/G55, 0),
    ISNUMBER(SEARCH("REAL", D55)), ROUND(12345/G55, 5)
)</f>
        <v>1</v>
      </c>
      <c r="N55" s="21" t="str">
        <f t="shared" si="0"/>
        <v/>
      </c>
    </row>
    <row r="56" spans="1:14" s="1" customFormat="1" ht="15" customHeight="1" x14ac:dyDescent="0.2">
      <c r="A56" s="3"/>
      <c r="C56" s="6"/>
      <c r="D56" s="3" t="s">
        <v>12</v>
      </c>
      <c r="F56" s="3" t="str">
        <f t="shared" si="2"/>
        <v/>
      </c>
      <c r="G56" s="3">
        <v>1</v>
      </c>
      <c r="H56" s="3" t="s">
        <v>13</v>
      </c>
      <c r="I56" s="3" t="s">
        <v>93</v>
      </c>
      <c r="J56" s="12" t="b">
        <v>0</v>
      </c>
      <c r="K56" s="12" t="b">
        <v>0</v>
      </c>
      <c r="L56" s="12" t="b">
        <v>0</v>
      </c>
      <c r="M56" s="7" cm="1">
        <f t="array" ref="M56">_xlfn.IFS(
    ISNUMBER(SEARCH("BOOL", D56)), 1,
    ISNUMBER(SEARCH("INT", D56)), ROUND(12345/G56, 0),
    ISNUMBER(SEARCH("REAL", D56)), ROUND(12345/G56, 5)
)</f>
        <v>1</v>
      </c>
      <c r="N56" s="21" t="str">
        <f t="shared" si="0"/>
        <v/>
      </c>
    </row>
    <row r="57" spans="1:14" s="1" customFormat="1" ht="15" customHeight="1" x14ac:dyDescent="0.2">
      <c r="A57" s="3"/>
      <c r="C57" s="6"/>
      <c r="D57" s="3" t="s">
        <v>12</v>
      </c>
      <c r="F57" s="3" t="str">
        <f t="shared" si="2"/>
        <v/>
      </c>
      <c r="G57" s="3">
        <v>1</v>
      </c>
      <c r="H57" s="3" t="s">
        <v>13</v>
      </c>
      <c r="I57" s="3" t="s">
        <v>93</v>
      </c>
      <c r="J57" s="12" t="b">
        <v>0</v>
      </c>
      <c r="K57" s="12" t="b">
        <v>0</v>
      </c>
      <c r="L57" s="12" t="b">
        <v>0</v>
      </c>
      <c r="M57" s="7" cm="1">
        <f t="array" ref="M57">_xlfn.IFS(
    ISNUMBER(SEARCH("BOOL", D57)), 1,
    ISNUMBER(SEARCH("INT", D57)), ROUND(12345/G57, 0),
    ISNUMBER(SEARCH("REAL", D57)), ROUND(12345/G57, 5)
)</f>
        <v>1</v>
      </c>
      <c r="N57" s="21" t="str">
        <f t="shared" si="0"/>
        <v/>
      </c>
    </row>
    <row r="58" spans="1:14" s="1" customFormat="1" ht="15" customHeight="1" x14ac:dyDescent="0.2">
      <c r="A58" s="3"/>
      <c r="C58" s="6"/>
      <c r="D58" s="3" t="s">
        <v>12</v>
      </c>
      <c r="F58" s="3" t="str">
        <f t="shared" si="2"/>
        <v/>
      </c>
      <c r="G58" s="3">
        <v>1</v>
      </c>
      <c r="H58" s="3" t="s">
        <v>13</v>
      </c>
      <c r="I58" s="3" t="s">
        <v>93</v>
      </c>
      <c r="J58" s="12" t="b">
        <v>0</v>
      </c>
      <c r="K58" s="12" t="b">
        <v>0</v>
      </c>
      <c r="L58" s="12" t="b">
        <v>0</v>
      </c>
      <c r="M58" s="7" cm="1">
        <f t="array" ref="M58">_xlfn.IFS(
    ISNUMBER(SEARCH("BOOL", D58)), 1,
    ISNUMBER(SEARCH("INT", D58)), ROUND(12345/G58, 0),
    ISNUMBER(SEARCH("REAL", D58)), ROUND(12345/G58, 5)
)</f>
        <v>1</v>
      </c>
      <c r="N58" s="21" t="str">
        <f t="shared" si="0"/>
        <v/>
      </c>
    </row>
    <row r="59" spans="1:14" s="1" customFormat="1" ht="15" customHeight="1" x14ac:dyDescent="0.2">
      <c r="A59" s="3"/>
      <c r="C59" s="6"/>
      <c r="D59" s="3" t="s">
        <v>12</v>
      </c>
      <c r="F59" s="3" t="str">
        <f t="shared" si="2"/>
        <v/>
      </c>
      <c r="G59" s="3">
        <v>1</v>
      </c>
      <c r="H59" s="3" t="s">
        <v>13</v>
      </c>
      <c r="I59" s="3" t="s">
        <v>93</v>
      </c>
      <c r="J59" s="12" t="b">
        <v>0</v>
      </c>
      <c r="K59" s="12" t="b">
        <v>0</v>
      </c>
      <c r="L59" s="12" t="b">
        <v>0</v>
      </c>
      <c r="M59" s="7" cm="1">
        <f t="array" ref="M59">_xlfn.IFS(
    ISNUMBER(SEARCH("BOOL", D59)), 1,
    ISNUMBER(SEARCH("INT", D59)), ROUND(12345/G59, 0),
    ISNUMBER(SEARCH("REAL", D59)), ROUND(12345/G59, 5)
)</f>
        <v>1</v>
      </c>
      <c r="N59" s="21" t="str">
        <f t="shared" si="0"/>
        <v/>
      </c>
    </row>
    <row r="60" spans="1:14" s="1" customFormat="1" ht="15" customHeight="1" x14ac:dyDescent="0.2">
      <c r="A60" s="3"/>
      <c r="C60" s="6"/>
      <c r="D60" s="3" t="s">
        <v>12</v>
      </c>
      <c r="F60" s="3" t="str">
        <f t="shared" si="2"/>
        <v/>
      </c>
      <c r="G60" s="3">
        <v>1</v>
      </c>
      <c r="H60" s="3" t="s">
        <v>13</v>
      </c>
      <c r="I60" s="3" t="s">
        <v>93</v>
      </c>
      <c r="J60" s="12" t="b">
        <v>0</v>
      </c>
      <c r="K60" s="12" t="b">
        <v>0</v>
      </c>
      <c r="L60" s="12" t="b">
        <v>0</v>
      </c>
      <c r="M60" s="7" cm="1">
        <f t="array" ref="M60">_xlfn.IFS(
    ISNUMBER(SEARCH("BOOL", D60)), 1,
    ISNUMBER(SEARCH("INT", D60)), ROUND(12345/G60, 0),
    ISNUMBER(SEARCH("REAL", D60)), ROUND(12345/G60, 5)
)</f>
        <v>1</v>
      </c>
      <c r="N60" s="21" t="str">
        <f t="shared" si="0"/>
        <v/>
      </c>
    </row>
    <row r="61" spans="1:14" s="1" customFormat="1" ht="15" customHeight="1" x14ac:dyDescent="0.2">
      <c r="A61" s="3"/>
      <c r="C61" s="6"/>
      <c r="D61" s="3" t="s">
        <v>12</v>
      </c>
      <c r="F61" s="3" t="str">
        <f t="shared" si="2"/>
        <v/>
      </c>
      <c r="G61" s="3">
        <v>1</v>
      </c>
      <c r="H61" s="3" t="s">
        <v>13</v>
      </c>
      <c r="I61" s="3" t="s">
        <v>93</v>
      </c>
      <c r="J61" s="12" t="b">
        <v>0</v>
      </c>
      <c r="K61" s="12" t="b">
        <v>0</v>
      </c>
      <c r="L61" s="12" t="b">
        <v>0</v>
      </c>
      <c r="M61" s="7" cm="1">
        <f t="array" ref="M61">_xlfn.IFS(
    ISNUMBER(SEARCH("BOOL", D61)), 1,
    ISNUMBER(SEARCH("INT", D61)), ROUND(12345/G61, 0),
    ISNUMBER(SEARCH("REAL", D61)), ROUND(12345/G61, 5)
)</f>
        <v>1</v>
      </c>
      <c r="N61" s="21" t="str">
        <f t="shared" si="0"/>
        <v/>
      </c>
    </row>
    <row r="62" spans="1:14" s="1" customFormat="1" ht="15" customHeight="1" x14ac:dyDescent="0.2">
      <c r="A62" s="3"/>
      <c r="C62" s="6"/>
      <c r="D62" s="3" t="s">
        <v>12</v>
      </c>
      <c r="F62" s="3" t="str">
        <f t="shared" si="2"/>
        <v/>
      </c>
      <c r="G62" s="3">
        <v>1</v>
      </c>
      <c r="H62" s="3" t="s">
        <v>13</v>
      </c>
      <c r="I62" s="3" t="s">
        <v>93</v>
      </c>
      <c r="J62" s="12" t="b">
        <v>0</v>
      </c>
      <c r="K62" s="12" t="b">
        <v>0</v>
      </c>
      <c r="L62" s="12" t="b">
        <v>0</v>
      </c>
      <c r="M62" s="7" cm="1">
        <f t="array" ref="M62">_xlfn.IFS(
    ISNUMBER(SEARCH("BOOL", D62)), 1,
    ISNUMBER(SEARCH("INT", D62)), ROUND(12345/G62, 0),
    ISNUMBER(SEARCH("REAL", D62)), ROUND(12345/G62, 5)
)</f>
        <v>1</v>
      </c>
      <c r="N62" s="21" t="str">
        <f t="shared" si="0"/>
        <v/>
      </c>
    </row>
    <row r="63" spans="1:14" s="1" customFormat="1" ht="15" customHeight="1" x14ac:dyDescent="0.2">
      <c r="A63" s="3"/>
      <c r="C63" s="6"/>
      <c r="D63" s="3" t="s">
        <v>12</v>
      </c>
      <c r="F63" s="3" t="str">
        <f t="shared" si="2"/>
        <v/>
      </c>
      <c r="G63" s="3">
        <v>1</v>
      </c>
      <c r="H63" s="3" t="s">
        <v>13</v>
      </c>
      <c r="I63" s="3" t="s">
        <v>93</v>
      </c>
      <c r="J63" s="12" t="b">
        <v>0</v>
      </c>
      <c r="K63" s="12" t="b">
        <v>0</v>
      </c>
      <c r="L63" s="12" t="b">
        <v>0</v>
      </c>
      <c r="M63" s="7" cm="1">
        <f t="array" ref="M63">_xlfn.IFS(
    ISNUMBER(SEARCH("BOOL", D63)), 1,
    ISNUMBER(SEARCH("INT", D63)), ROUND(12345/G63, 0),
    ISNUMBER(SEARCH("REAL", D63)), ROUND(12345/G63, 5)
)</f>
        <v>1</v>
      </c>
      <c r="N63" s="21" t="str">
        <f t="shared" si="0"/>
        <v/>
      </c>
    </row>
    <row r="64" spans="1:14" s="1" customFormat="1" ht="15" customHeight="1" x14ac:dyDescent="0.2">
      <c r="A64" s="3"/>
      <c r="C64" s="6"/>
      <c r="D64" s="3" t="s">
        <v>12</v>
      </c>
      <c r="F64" s="3" t="str">
        <f t="shared" si="2"/>
        <v/>
      </c>
      <c r="G64" s="3">
        <v>1</v>
      </c>
      <c r="H64" s="3" t="s">
        <v>13</v>
      </c>
      <c r="I64" s="3" t="s">
        <v>93</v>
      </c>
      <c r="J64" s="12" t="b">
        <v>0</v>
      </c>
      <c r="K64" s="12" t="b">
        <v>0</v>
      </c>
      <c r="L64" s="12" t="b">
        <v>0</v>
      </c>
      <c r="M64" s="7" cm="1">
        <f t="array" ref="M64">_xlfn.IFS(
    ISNUMBER(SEARCH("BOOL", D64)), 1,
    ISNUMBER(SEARCH("INT", D64)), ROUND(12345/G64, 0),
    ISNUMBER(SEARCH("REAL", D64)), ROUND(12345/G64, 5)
)</f>
        <v>1</v>
      </c>
      <c r="N64" s="21" t="str">
        <f t="shared" si="0"/>
        <v/>
      </c>
    </row>
    <row r="65" spans="1:14" s="1" customFormat="1" ht="15" customHeight="1" x14ac:dyDescent="0.2">
      <c r="A65" s="3"/>
      <c r="C65" s="6"/>
      <c r="D65" s="3" t="s">
        <v>12</v>
      </c>
      <c r="F65" s="3" t="str">
        <f t="shared" si="2"/>
        <v/>
      </c>
      <c r="G65" s="3">
        <v>1</v>
      </c>
      <c r="H65" s="3" t="s">
        <v>13</v>
      </c>
      <c r="I65" s="3" t="s">
        <v>93</v>
      </c>
      <c r="J65" s="12" t="b">
        <v>0</v>
      </c>
      <c r="K65" s="12" t="b">
        <v>0</v>
      </c>
      <c r="L65" s="12" t="b">
        <v>0</v>
      </c>
      <c r="M65" s="7" cm="1">
        <f t="array" ref="M65">_xlfn.IFS(
    ISNUMBER(SEARCH("BOOL", D65)), 1,
    ISNUMBER(SEARCH("INT", D65)), ROUND(12345/G65, 0),
    ISNUMBER(SEARCH("REAL", D65)), ROUND(12345/G65, 5)
)</f>
        <v>1</v>
      </c>
      <c r="N65" s="21" t="str">
        <f t="shared" si="0"/>
        <v/>
      </c>
    </row>
    <row r="66" spans="1:14" s="1" customFormat="1" ht="15" customHeight="1" x14ac:dyDescent="0.2">
      <c r="A66" s="3"/>
      <c r="C66" s="6"/>
      <c r="D66" s="3" t="s">
        <v>12</v>
      </c>
      <c r="F66" s="3" t="str">
        <f t="shared" si="2"/>
        <v/>
      </c>
      <c r="G66" s="3">
        <v>1</v>
      </c>
      <c r="H66" s="3" t="s">
        <v>13</v>
      </c>
      <c r="I66" s="3" t="s">
        <v>93</v>
      </c>
      <c r="J66" s="12" t="b">
        <v>0</v>
      </c>
      <c r="K66" s="12" t="b">
        <v>0</v>
      </c>
      <c r="L66" s="12" t="b">
        <v>0</v>
      </c>
      <c r="M66" s="7" cm="1">
        <f t="array" ref="M66">_xlfn.IFS(
    ISNUMBER(SEARCH("BOOL", D66)), 1,
    ISNUMBER(SEARCH("INT", D66)), ROUND(12345/G66, 0),
    ISNUMBER(SEARCH("REAL", D66)), ROUND(12345/G66, 5)
)</f>
        <v>1</v>
      </c>
      <c r="N66" s="21" t="str">
        <f t="shared" si="0"/>
        <v/>
      </c>
    </row>
    <row r="67" spans="1:14" s="1" customFormat="1" ht="15" customHeight="1" x14ac:dyDescent="0.2">
      <c r="A67" s="3"/>
      <c r="C67" s="6"/>
      <c r="D67" s="3" t="s">
        <v>12</v>
      </c>
      <c r="F67" s="3" t="str">
        <f t="shared" si="2"/>
        <v/>
      </c>
      <c r="G67" s="3">
        <v>1</v>
      </c>
      <c r="H67" s="3" t="s">
        <v>13</v>
      </c>
      <c r="I67" s="3" t="s">
        <v>93</v>
      </c>
      <c r="J67" s="12" t="b">
        <v>0</v>
      </c>
      <c r="K67" s="12" t="b">
        <v>0</v>
      </c>
      <c r="L67" s="12" t="b">
        <v>0</v>
      </c>
      <c r="M67" s="7" cm="1">
        <f t="array" ref="M67">_xlfn.IFS(
    ISNUMBER(SEARCH("BOOL", D67)), 1,
    ISNUMBER(SEARCH("INT", D67)), ROUND(12345/G67, 0),
    ISNUMBER(SEARCH("REAL", D67)), ROUND(12345/G67, 5)
)</f>
        <v>1</v>
      </c>
      <c r="N67" s="21" t="str">
        <f t="shared" si="0"/>
        <v/>
      </c>
    </row>
    <row r="68" spans="1:14" s="1" customFormat="1" ht="15" customHeight="1" x14ac:dyDescent="0.2">
      <c r="A68" s="3"/>
      <c r="C68" s="6"/>
      <c r="D68" s="3" t="s">
        <v>12</v>
      </c>
      <c r="F68" s="3" t="str">
        <f t="shared" si="2"/>
        <v/>
      </c>
      <c r="G68" s="3">
        <v>1</v>
      </c>
      <c r="H68" s="3" t="s">
        <v>13</v>
      </c>
      <c r="I68" s="3" t="s">
        <v>93</v>
      </c>
      <c r="J68" s="12" t="b">
        <v>0</v>
      </c>
      <c r="K68" s="12" t="b">
        <v>0</v>
      </c>
      <c r="L68" s="12" t="b">
        <v>0</v>
      </c>
      <c r="M68" s="7" cm="1">
        <f t="array" ref="M68">_xlfn.IFS(
    ISNUMBER(SEARCH("BOOL", D68)), 1,
    ISNUMBER(SEARCH("INT", D68)), ROUND(12345/G68, 0),
    ISNUMBER(SEARCH("REAL", D68)), ROUND(12345/G68, 5)
)</f>
        <v>1</v>
      </c>
      <c r="N68" s="21" t="str">
        <f t="shared" si="0"/>
        <v/>
      </c>
    </row>
    <row r="69" spans="1:14" s="1" customFormat="1" ht="15" customHeight="1" x14ac:dyDescent="0.2">
      <c r="A69" s="3"/>
      <c r="C69" s="6"/>
      <c r="D69" s="3" t="s">
        <v>12</v>
      </c>
      <c r="F69" s="3" t="str">
        <f t="shared" si="2"/>
        <v/>
      </c>
      <c r="G69" s="3">
        <v>1</v>
      </c>
      <c r="H69" s="3" t="s">
        <v>13</v>
      </c>
      <c r="I69" s="3" t="s">
        <v>93</v>
      </c>
      <c r="J69" s="12" t="b">
        <v>0</v>
      </c>
      <c r="K69" s="12" t="b">
        <v>0</v>
      </c>
      <c r="L69" s="12" t="b">
        <v>0</v>
      </c>
      <c r="M69" s="7" cm="1">
        <f t="array" ref="M69">_xlfn.IFS(
    ISNUMBER(SEARCH("BOOL", D69)), 1,
    ISNUMBER(SEARCH("INT", D69)), ROUND(12345/G69, 0),
    ISNUMBER(SEARCH("REAL", D69)), ROUND(12345/G69, 5)
)</f>
        <v>1</v>
      </c>
      <c r="N69" s="21" t="str">
        <f t="shared" si="0"/>
        <v/>
      </c>
    </row>
    <row r="70" spans="1:14" s="1" customFormat="1" ht="15" customHeight="1" x14ac:dyDescent="0.2">
      <c r="A70" s="3"/>
      <c r="C70" s="6"/>
      <c r="D70" s="3" t="s">
        <v>12</v>
      </c>
      <c r="F70" s="3" t="str">
        <f t="shared" si="2"/>
        <v/>
      </c>
      <c r="G70" s="3">
        <v>1</v>
      </c>
      <c r="H70" s="3" t="s">
        <v>13</v>
      </c>
      <c r="I70" s="3" t="s">
        <v>93</v>
      </c>
      <c r="J70" s="12" t="b">
        <v>0</v>
      </c>
      <c r="K70" s="12" t="b">
        <v>0</v>
      </c>
      <c r="L70" s="12" t="b">
        <v>0</v>
      </c>
      <c r="M70" s="7" cm="1">
        <f t="array" ref="M70">_xlfn.IFS(
    ISNUMBER(SEARCH("BOOL", D70)), 1,
    ISNUMBER(SEARCH("INT", D70)), ROUND(12345/G70, 0),
    ISNUMBER(SEARCH("REAL", D70)), ROUND(12345/G70, 5)
)</f>
        <v>1</v>
      </c>
      <c r="N70" s="21" t="str">
        <f t="shared" si="0"/>
        <v/>
      </c>
    </row>
    <row r="71" spans="1:14" s="1" customFormat="1" ht="15" customHeight="1" x14ac:dyDescent="0.2">
      <c r="A71" s="3"/>
      <c r="C71" s="6"/>
      <c r="D71" s="3" t="s">
        <v>12</v>
      </c>
      <c r="F71" s="3" t="str">
        <f t="shared" si="2"/>
        <v/>
      </c>
      <c r="G71" s="3">
        <v>1</v>
      </c>
      <c r="H71" s="3" t="s">
        <v>13</v>
      </c>
      <c r="I71" s="3" t="s">
        <v>93</v>
      </c>
      <c r="J71" s="12" t="b">
        <v>0</v>
      </c>
      <c r="K71" s="12" t="b">
        <v>0</v>
      </c>
      <c r="L71" s="12" t="b">
        <v>0</v>
      </c>
      <c r="M71" s="7" cm="1">
        <f t="array" ref="M71">_xlfn.IFS(
    ISNUMBER(SEARCH("BOOL", D71)), 1,
    ISNUMBER(SEARCH("INT", D71)), ROUND(12345/G71, 0),
    ISNUMBER(SEARCH("REAL", D71)), ROUND(12345/G71, 5)
)</f>
        <v>1</v>
      </c>
      <c r="N71" s="21" t="str">
        <f t="shared" si="0"/>
        <v/>
      </c>
    </row>
    <row r="72" spans="1:14" s="1" customFormat="1" ht="15" customHeight="1" x14ac:dyDescent="0.2">
      <c r="A72" s="3"/>
      <c r="C72" s="6"/>
      <c r="D72" s="3" t="s">
        <v>12</v>
      </c>
      <c r="F72" s="3" t="str">
        <f t="shared" si="2"/>
        <v/>
      </c>
      <c r="G72" s="3">
        <v>1</v>
      </c>
      <c r="H72" s="3" t="s">
        <v>13</v>
      </c>
      <c r="I72" s="3" t="s">
        <v>93</v>
      </c>
      <c r="J72" s="12" t="b">
        <v>0</v>
      </c>
      <c r="K72" s="12" t="b">
        <v>0</v>
      </c>
      <c r="L72" s="12" t="b">
        <v>0</v>
      </c>
      <c r="M72" s="7" cm="1">
        <f t="array" ref="M72">_xlfn.IFS(
    ISNUMBER(SEARCH("BOOL", D72)), 1,
    ISNUMBER(SEARCH("INT", D72)), ROUND(12345/G72, 0),
    ISNUMBER(SEARCH("REAL", D72)), ROUND(12345/G72, 5)
)</f>
        <v>1</v>
      </c>
      <c r="N72" s="21" t="str">
        <f t="shared" ref="N72:N85" si="3">CONCATENATE(
    SUBSTITUTE(
        SUBSTITUTE(
            IF(
                H72 = "Read Only",
                CONCATENATE("_",
                    IF(J72 = TRUE, "A-", ""),
                    IF(K72 = TRUE, "H-", ""),
                    IF(L72 = TRUE, "D", ""),
                    "_",
                    SUBSTITUTE(
                        IF($B$6="CAPITALIZE ALL",
                            UPPER(TRIM(B72)),
                            IF($B$6="Upper Case Words",
                                PROPER(TRIM(B72)),
                                TRIM(B72)
                            )
                        ),
                        " ", "_"
                    )
                ),
                _xlfn.CONCAT("CMD_",
                    SUBSTITUTE(
                        IF($B$6="CAPITALIZE ALL",
                            UPPER(TRIM(B72)),
                            IF($B$6="Upper Case Words",
                                PROPER(TRIM(B72)),
                                TRIM(B72)
                            )
                        ),
                        " ", "_"
                    )
                )
            ),
            "-_", "_"
        ),
        "__", ""
    ),
    IF(
        AND(
            OR(ISNUMBER(SEARCH("INT", D72)), ISNUMBER(SEARCH("REAL", D72))),
            G72 &gt; 1
        ),
        _xlfn.CONCAT("_x", G72),
        ""
    )
)</f>
        <v/>
      </c>
    </row>
    <row r="73" spans="1:14" s="1" customFormat="1" ht="15" customHeight="1" x14ac:dyDescent="0.2">
      <c r="A73" s="3"/>
      <c r="C73" s="6"/>
      <c r="D73" s="3" t="s">
        <v>12</v>
      </c>
      <c r="F73" s="3" t="str">
        <f t="shared" si="2"/>
        <v/>
      </c>
      <c r="G73" s="3">
        <v>1</v>
      </c>
      <c r="H73" s="3" t="s">
        <v>13</v>
      </c>
      <c r="I73" s="3" t="s">
        <v>93</v>
      </c>
      <c r="J73" s="12" t="b">
        <v>0</v>
      </c>
      <c r="K73" s="12" t="b">
        <v>0</v>
      </c>
      <c r="L73" s="12" t="b">
        <v>0</v>
      </c>
      <c r="M73" s="7" cm="1">
        <f t="array" ref="M73">_xlfn.IFS(
    ISNUMBER(SEARCH("BOOL", D73)), 1,
    ISNUMBER(SEARCH("INT", D73)), ROUND(12345/G73, 0),
    ISNUMBER(SEARCH("REAL", D73)), ROUND(12345/G73, 5)
)</f>
        <v>1</v>
      </c>
      <c r="N73" s="21" t="str">
        <f t="shared" si="3"/>
        <v/>
      </c>
    </row>
    <row r="74" spans="1:14" s="1" customFormat="1" ht="15" customHeight="1" x14ac:dyDescent="0.2">
      <c r="A74" s="3"/>
      <c r="C74" s="6"/>
      <c r="D74" s="3" t="s">
        <v>12</v>
      </c>
      <c r="F74" s="3" t="str">
        <f t="shared" si="2"/>
        <v/>
      </c>
      <c r="G74" s="3">
        <v>1</v>
      </c>
      <c r="H74" s="3" t="s">
        <v>13</v>
      </c>
      <c r="I74" s="3" t="s">
        <v>93</v>
      </c>
      <c r="J74" s="12" t="b">
        <v>0</v>
      </c>
      <c r="K74" s="12" t="b">
        <v>0</v>
      </c>
      <c r="L74" s="12" t="b">
        <v>0</v>
      </c>
      <c r="M74" s="7" cm="1">
        <f t="array" ref="M74">_xlfn.IFS(
    ISNUMBER(SEARCH("BOOL", D74)), 1,
    ISNUMBER(SEARCH("INT", D74)), ROUND(12345/G74, 0),
    ISNUMBER(SEARCH("REAL", D74)), ROUND(12345/G74, 5)
)</f>
        <v>1</v>
      </c>
      <c r="N74" s="21" t="str">
        <f t="shared" si="3"/>
        <v/>
      </c>
    </row>
    <row r="75" spans="1:14" s="1" customFormat="1" ht="15" customHeight="1" x14ac:dyDescent="0.2">
      <c r="A75" s="3"/>
      <c r="C75" s="6"/>
      <c r="D75" s="3" t="s">
        <v>12</v>
      </c>
      <c r="F75" s="3" t="str">
        <f t="shared" si="2"/>
        <v/>
      </c>
      <c r="G75" s="3">
        <v>1</v>
      </c>
      <c r="H75" s="3" t="s">
        <v>13</v>
      </c>
      <c r="I75" s="3" t="s">
        <v>93</v>
      </c>
      <c r="J75" s="12" t="b">
        <v>0</v>
      </c>
      <c r="K75" s="12" t="b">
        <v>0</v>
      </c>
      <c r="L75" s="12" t="b">
        <v>0</v>
      </c>
      <c r="M75" s="7" cm="1">
        <f t="array" ref="M75">_xlfn.IFS(
    ISNUMBER(SEARCH("BOOL", D75)), 1,
    ISNUMBER(SEARCH("INT", D75)), ROUND(12345/G75, 0),
    ISNUMBER(SEARCH("REAL", D75)), ROUND(12345/G75, 5)
)</f>
        <v>1</v>
      </c>
      <c r="N75" s="21" t="str">
        <f t="shared" si="3"/>
        <v/>
      </c>
    </row>
    <row r="76" spans="1:14" s="1" customFormat="1" ht="15" customHeight="1" x14ac:dyDescent="0.2">
      <c r="A76" s="3"/>
      <c r="C76" s="6"/>
      <c r="D76" s="3" t="s">
        <v>12</v>
      </c>
      <c r="F76" s="3" t="str">
        <f t="shared" si="2"/>
        <v/>
      </c>
      <c r="G76" s="3">
        <v>1</v>
      </c>
      <c r="H76" s="3" t="s">
        <v>13</v>
      </c>
      <c r="I76" s="3" t="s">
        <v>93</v>
      </c>
      <c r="J76" s="12" t="b">
        <v>0</v>
      </c>
      <c r="K76" s="12" t="b">
        <v>0</v>
      </c>
      <c r="L76" s="12" t="b">
        <v>0</v>
      </c>
      <c r="M76" s="7" cm="1">
        <f t="array" ref="M76">_xlfn.IFS(
    ISNUMBER(SEARCH("BOOL", D76)), 1,
    ISNUMBER(SEARCH("INT", D76)), ROUND(12345/G76, 0),
    ISNUMBER(SEARCH("REAL", D76)), ROUND(12345/G76, 5)
)</f>
        <v>1</v>
      </c>
      <c r="N76" s="21" t="str">
        <f t="shared" si="3"/>
        <v/>
      </c>
    </row>
    <row r="77" spans="1:14" s="1" customFormat="1" ht="15" customHeight="1" x14ac:dyDescent="0.2">
      <c r="A77" s="3"/>
      <c r="C77" s="6"/>
      <c r="D77" s="3" t="s">
        <v>12</v>
      </c>
      <c r="F77" s="3" t="str">
        <f t="shared" si="2"/>
        <v/>
      </c>
      <c r="G77" s="3">
        <v>1</v>
      </c>
      <c r="H77" s="3" t="s">
        <v>13</v>
      </c>
      <c r="I77" s="3" t="s">
        <v>93</v>
      </c>
      <c r="J77" s="12" t="b">
        <v>0</v>
      </c>
      <c r="K77" s="12" t="b">
        <v>0</v>
      </c>
      <c r="L77" s="12" t="b">
        <v>0</v>
      </c>
      <c r="M77" s="7" cm="1">
        <f t="array" ref="M77">_xlfn.IFS(
    ISNUMBER(SEARCH("BOOL", D77)), 1,
    ISNUMBER(SEARCH("INT", D77)), ROUND(12345/G77, 0),
    ISNUMBER(SEARCH("REAL", D77)), ROUND(12345/G77, 5)
)</f>
        <v>1</v>
      </c>
      <c r="N77" s="21" t="str">
        <f t="shared" si="3"/>
        <v/>
      </c>
    </row>
    <row r="78" spans="1:14" s="1" customFormat="1" ht="15" customHeight="1" x14ac:dyDescent="0.2">
      <c r="A78" s="3"/>
      <c r="C78" s="6"/>
      <c r="D78" s="3" t="s">
        <v>12</v>
      </c>
      <c r="F78" s="3" t="str">
        <f t="shared" si="2"/>
        <v/>
      </c>
      <c r="G78" s="3">
        <v>1</v>
      </c>
      <c r="H78" s="3" t="s">
        <v>13</v>
      </c>
      <c r="I78" s="3" t="s">
        <v>93</v>
      </c>
      <c r="J78" s="12" t="b">
        <v>0</v>
      </c>
      <c r="K78" s="12" t="b">
        <v>0</v>
      </c>
      <c r="L78" s="12" t="b">
        <v>0</v>
      </c>
      <c r="M78" s="7" cm="1">
        <f t="array" ref="M78">_xlfn.IFS(
    ISNUMBER(SEARCH("BOOL", D78)), 1,
    ISNUMBER(SEARCH("INT", D78)), ROUND(12345/G78, 0),
    ISNUMBER(SEARCH("REAL", D78)), ROUND(12345/G78, 5)
)</f>
        <v>1</v>
      </c>
      <c r="N78" s="21" t="str">
        <f t="shared" si="3"/>
        <v/>
      </c>
    </row>
    <row r="79" spans="1:14" s="1" customFormat="1" ht="15" customHeight="1" x14ac:dyDescent="0.2">
      <c r="A79" s="3"/>
      <c r="C79" s="6"/>
      <c r="D79" s="3" t="s">
        <v>12</v>
      </c>
      <c r="F79" s="3" t="str">
        <f t="shared" ref="F79:F85" si="4">IF(LEN(E79)&gt;0, IF(D79 = "Boolean", (VALUE(MID(E79,FIND(":",E79)+1,FIND("/",E79)-FIND(":",E79)-1))*16) + (VALUE(RIGHT(E79,LEN(E79)-FIND("/",E79)))), VALUE(RIGHT(E79,LEN(E79)-FIND(":",E79)))), "")</f>
        <v/>
      </c>
      <c r="G79" s="3">
        <v>1</v>
      </c>
      <c r="H79" s="3" t="s">
        <v>13</v>
      </c>
      <c r="I79" s="3" t="s">
        <v>93</v>
      </c>
      <c r="J79" s="12" t="b">
        <v>0</v>
      </c>
      <c r="K79" s="12" t="b">
        <v>0</v>
      </c>
      <c r="L79" s="12" t="b">
        <v>0</v>
      </c>
      <c r="M79" s="7" cm="1">
        <f t="array" ref="M79">_xlfn.IFS(
    ISNUMBER(SEARCH("BOOL", D79)), 1,
    ISNUMBER(SEARCH("INT", D79)), ROUND(12345/G79, 0),
    ISNUMBER(SEARCH("REAL", D79)), ROUND(12345/G79, 5)
)</f>
        <v>1</v>
      </c>
      <c r="N79" s="21" t="str">
        <f t="shared" si="3"/>
        <v/>
      </c>
    </row>
    <row r="80" spans="1:14" s="1" customFormat="1" ht="15" customHeight="1" x14ac:dyDescent="0.2">
      <c r="A80" s="3"/>
      <c r="C80" s="6"/>
      <c r="D80" s="3" t="s">
        <v>12</v>
      </c>
      <c r="F80" s="3" t="str">
        <f t="shared" si="4"/>
        <v/>
      </c>
      <c r="G80" s="3">
        <v>1</v>
      </c>
      <c r="H80" s="3" t="s">
        <v>13</v>
      </c>
      <c r="I80" s="3" t="s">
        <v>93</v>
      </c>
      <c r="J80" s="12" t="b">
        <v>0</v>
      </c>
      <c r="K80" s="12" t="b">
        <v>0</v>
      </c>
      <c r="L80" s="12" t="b">
        <v>0</v>
      </c>
      <c r="M80" s="7" cm="1">
        <f t="array" ref="M80">_xlfn.IFS(
    ISNUMBER(SEARCH("BOOL", D80)), 1,
    ISNUMBER(SEARCH("INT", D80)), ROUND(12345/G80, 0),
    ISNUMBER(SEARCH("REAL", D80)), ROUND(12345/G80, 5)
)</f>
        <v>1</v>
      </c>
      <c r="N80" s="21" t="str">
        <f t="shared" si="3"/>
        <v/>
      </c>
    </row>
    <row r="81" spans="1:14" s="1" customFormat="1" ht="15" customHeight="1" x14ac:dyDescent="0.2">
      <c r="A81" s="3"/>
      <c r="C81" s="6"/>
      <c r="D81" s="3" t="s">
        <v>12</v>
      </c>
      <c r="F81" s="3" t="str">
        <f t="shared" si="4"/>
        <v/>
      </c>
      <c r="G81" s="3">
        <v>1</v>
      </c>
      <c r="H81" s="3" t="s">
        <v>13</v>
      </c>
      <c r="I81" s="3" t="s">
        <v>93</v>
      </c>
      <c r="J81" s="12" t="b">
        <v>0</v>
      </c>
      <c r="K81" s="12" t="b">
        <v>0</v>
      </c>
      <c r="L81" s="12" t="b">
        <v>0</v>
      </c>
      <c r="M81" s="7" cm="1">
        <f t="array" ref="M81">_xlfn.IFS(
    ISNUMBER(SEARCH("BOOL", D81)), 1,
    ISNUMBER(SEARCH("INT", D81)), ROUND(12345/G81, 0),
    ISNUMBER(SEARCH("REAL", D81)), ROUND(12345/G81, 5)
)</f>
        <v>1</v>
      </c>
      <c r="N81" s="21" t="str">
        <f t="shared" si="3"/>
        <v/>
      </c>
    </row>
    <row r="82" spans="1:14" s="1" customFormat="1" ht="15" customHeight="1" x14ac:dyDescent="0.2">
      <c r="A82" s="3"/>
      <c r="C82" s="6"/>
      <c r="D82" s="3" t="s">
        <v>12</v>
      </c>
      <c r="F82" s="3" t="str">
        <f t="shared" si="4"/>
        <v/>
      </c>
      <c r="G82" s="3">
        <v>1</v>
      </c>
      <c r="H82" s="3" t="s">
        <v>13</v>
      </c>
      <c r="I82" s="3" t="s">
        <v>93</v>
      </c>
      <c r="J82" s="12" t="b">
        <v>0</v>
      </c>
      <c r="K82" s="12" t="b">
        <v>0</v>
      </c>
      <c r="L82" s="12" t="b">
        <v>0</v>
      </c>
      <c r="M82" s="7" cm="1">
        <f t="array" ref="M82">_xlfn.IFS(
    ISNUMBER(SEARCH("BOOL", D82)), 1,
    ISNUMBER(SEARCH("INT", D82)), ROUND(12345/G82, 0),
    ISNUMBER(SEARCH("REAL", D82)), ROUND(12345/G82, 5)
)</f>
        <v>1</v>
      </c>
      <c r="N82" s="21" t="str">
        <f t="shared" si="3"/>
        <v/>
      </c>
    </row>
    <row r="83" spans="1:14" s="1" customFormat="1" ht="15" customHeight="1" x14ac:dyDescent="0.2">
      <c r="A83" s="3"/>
      <c r="C83" s="6"/>
      <c r="D83" s="3" t="s">
        <v>12</v>
      </c>
      <c r="F83" s="3" t="str">
        <f t="shared" si="4"/>
        <v/>
      </c>
      <c r="G83" s="3">
        <v>1</v>
      </c>
      <c r="H83" s="3" t="s">
        <v>13</v>
      </c>
      <c r="I83" s="3" t="s">
        <v>93</v>
      </c>
      <c r="J83" s="12" t="b">
        <v>0</v>
      </c>
      <c r="K83" s="12" t="b">
        <v>0</v>
      </c>
      <c r="L83" s="12" t="b">
        <v>0</v>
      </c>
      <c r="M83" s="7" cm="1">
        <f t="array" ref="M83">_xlfn.IFS(
    ISNUMBER(SEARCH("BOOL", D83)), 1,
    ISNUMBER(SEARCH("INT", D83)), ROUND(12345/G83, 0),
    ISNUMBER(SEARCH("REAL", D83)), ROUND(12345/G83, 5)
)</f>
        <v>1</v>
      </c>
      <c r="N83" s="21" t="str">
        <f t="shared" si="3"/>
        <v/>
      </c>
    </row>
    <row r="84" spans="1:14" s="1" customFormat="1" ht="15" customHeight="1" x14ac:dyDescent="0.2">
      <c r="A84" s="3"/>
      <c r="C84" s="6"/>
      <c r="D84" s="3" t="s">
        <v>12</v>
      </c>
      <c r="F84" s="3" t="str">
        <f t="shared" si="4"/>
        <v/>
      </c>
      <c r="G84" s="3">
        <v>1</v>
      </c>
      <c r="H84" s="3" t="s">
        <v>13</v>
      </c>
      <c r="I84" s="3" t="s">
        <v>93</v>
      </c>
      <c r="J84" s="12" t="b">
        <v>0</v>
      </c>
      <c r="K84" s="12" t="b">
        <v>0</v>
      </c>
      <c r="L84" s="12" t="b">
        <v>0</v>
      </c>
      <c r="M84" s="7" cm="1">
        <f t="array" ref="M84">_xlfn.IFS(
    ISNUMBER(SEARCH("BOOL", D84)), 1,
    ISNUMBER(SEARCH("INT", D84)), ROUND(12345/G84, 0),
    ISNUMBER(SEARCH("REAL", D84)), ROUND(12345/G84, 5)
)</f>
        <v>1</v>
      </c>
      <c r="N84" s="21" t="str">
        <f t="shared" si="3"/>
        <v/>
      </c>
    </row>
    <row r="85" spans="1:14" s="1" customFormat="1" ht="15" customHeight="1" x14ac:dyDescent="0.2">
      <c r="A85" s="3"/>
      <c r="C85" s="6"/>
      <c r="D85" s="3" t="s">
        <v>12</v>
      </c>
      <c r="F85" s="3" t="str">
        <f t="shared" si="4"/>
        <v/>
      </c>
      <c r="G85" s="3">
        <v>1</v>
      </c>
      <c r="H85" s="3" t="s">
        <v>13</v>
      </c>
      <c r="I85" s="3" t="s">
        <v>93</v>
      </c>
      <c r="J85" s="12" t="b">
        <v>0</v>
      </c>
      <c r="K85" s="12" t="b">
        <v>0</v>
      </c>
      <c r="L85" s="12" t="b">
        <v>0</v>
      </c>
      <c r="M85" s="7" cm="1">
        <f t="array" ref="M85">_xlfn.IFS(
    ISNUMBER(SEARCH("BOOL", D85)), 1,
    ISNUMBER(SEARCH("INT", D85)), ROUND(12345/G85, 0),
    ISNUMBER(SEARCH("REAL", D85)), ROUND(12345/G85, 5)
)</f>
        <v>1</v>
      </c>
      <c r="N85" s="21" t="str">
        <f t="shared" si="3"/>
        <v/>
      </c>
    </row>
  </sheetData>
  <conditionalFormatting sqref="B16:B85">
    <cfRule type="expression" dxfId="35" priority="17">
      <formula>COUNTIF($B$9:$B116,$B16)&gt;1</formula>
    </cfRule>
    <cfRule type="expression" dxfId="34" priority="18">
      <formula>LEN(TRIM(_xludf.REGEXREPLACE(B16, "[A-Za-z0-9]", "")))</formula>
    </cfRule>
  </conditionalFormatting>
  <conditionalFormatting sqref="B10">
    <cfRule type="expression" dxfId="33" priority="27">
      <formula>COUNTIF($B$9:$B109,$B10)&gt;1</formula>
    </cfRule>
    <cfRule type="expression" dxfId="32" priority="28">
      <formula>LEN(TRIM(_xludf.REGEXREPLACE(B10, "[A-Za-z0-9]", "")))</formula>
    </cfRule>
  </conditionalFormatting>
  <conditionalFormatting sqref="B9">
    <cfRule type="expression" dxfId="31" priority="37">
      <formula>COUNTIF($B$9:$B107,$B9)&gt;1</formula>
    </cfRule>
    <cfRule type="expression" dxfId="30" priority="38">
      <formula>LEN(TRIM(_xludf.REGEXREPLACE(B9, "[A-Za-z0-9]", "")))</formula>
    </cfRule>
  </conditionalFormatting>
  <conditionalFormatting sqref="B11:B12">
    <cfRule type="expression" dxfId="29" priority="45">
      <formula>COUNTIF($B$9:$B113,$B11)&gt;1</formula>
    </cfRule>
    <cfRule type="expression" dxfId="28" priority="46">
      <formula>LEN(TRIM(_xludf.REGEXREPLACE(B11, "[A-Za-z0-9]", "")))</formula>
    </cfRule>
  </conditionalFormatting>
  <conditionalFormatting sqref="B13:B15">
    <cfRule type="expression" dxfId="27" priority="47">
      <formula>COUNTIF($B$9:$B110,$B13)&gt;1</formula>
    </cfRule>
    <cfRule type="expression" dxfId="26" priority="48">
      <formula>LEN(TRIM(_xludf.REGEXREPLACE(B13, "[A-Za-z0-9]", "")))</formula>
    </cfRule>
  </conditionalFormatting>
  <dataValidations count="5">
    <dataValidation type="list" allowBlank="1" showErrorMessage="1" sqref="B3" xr:uid="{00000000-0002-0000-0000-000002000000}">
      <formula1>"Ethernet,Serial"</formula1>
    </dataValidation>
    <dataValidation type="list" allowBlank="1" showInputMessage="1" showErrorMessage="1" sqref="B6" xr:uid="{E8888666-6D55-4B82-8CD9-34E4FEBB2984}">
      <formula1>"CAPITALIZE ALL, Upper Case Words, none"</formula1>
    </dataValidation>
    <dataValidation type="list" allowBlank="1" showInputMessage="1" showErrorMessage="1" prompt="Please select a value scaling." sqref="G8:G85" xr:uid="{00000000-0002-0000-0000-000001000000}">
      <formula1>"1,10,100,1000"</formula1>
    </dataValidation>
    <dataValidation type="list" allowBlank="1" showInputMessage="1" showErrorMessage="1" prompt="Please select an option. " sqref="H8:H85" xr:uid="{00000000-0002-0000-0000-000003000000}">
      <formula1>"Read Only,Read+Write"</formula1>
    </dataValidation>
    <dataValidation type="list" allowBlank="1" showInputMessage="1" showErrorMessage="1" prompt="Please select an option. " sqref="I8:I85" xr:uid="{A9F00D05-9A4B-426F-B84E-C2C810969120}">
      <formula1>"On Change, On Scan-Rate"</formula1>
    </dataValidation>
  </dataValidations>
  <pageMargins left="0.7" right="0.7" top="0.75" bottom="0.75" header="0.3" footer="0.3"/>
  <pageSetup paperSize="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exportAsXmlForUticor">
                <anchor moveWithCells="1" sizeWithCells="1">
                  <from>
                    <xdr:col>3</xdr:col>
                    <xdr:colOff>177800</xdr:colOff>
                    <xdr:row>1</xdr:row>
                    <xdr:rowOff>88900</xdr:rowOff>
                  </from>
                  <to>
                    <xdr:col>3</xdr:col>
                    <xdr:colOff>2019300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exportAsJsonForIgnition">
                <anchor moveWithCells="1" sizeWithCells="1">
                  <from>
                    <xdr:col>3</xdr:col>
                    <xdr:colOff>177800</xdr:colOff>
                    <xdr:row>3</xdr:row>
                    <xdr:rowOff>101600</xdr:rowOff>
                  </from>
                  <to>
                    <xdr:col>3</xdr:col>
                    <xdr:colOff>2032000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Click and enter a value from the list of items" xr:uid="{1FF48991-8246-4D4E-86C6-097B705B0D22}">
          <x14:formula1>
            <xm:f>DataTypes!$A$2:$A$17</xm:f>
          </x14:formula1>
          <xm:sqref>D8:D85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A1923-495E-42F0-AED1-E525A0D25171}">
  <sheetPr codeName="Sheet2"/>
  <dimension ref="A1:E17"/>
  <sheetViews>
    <sheetView workbookViewId="0">
      <selection activeCell="A2" sqref="A2:E17"/>
    </sheetView>
  </sheetViews>
  <sheetFormatPr baseColWidth="10" defaultColWidth="50.1640625" defaultRowHeight="13" x14ac:dyDescent="0.15"/>
  <cols>
    <col min="1" max="1" width="39.6640625" bestFit="1" customWidth="1"/>
    <col min="2" max="2" width="23.5" bestFit="1" customWidth="1"/>
    <col min="4" max="4" width="29.1640625" bestFit="1" customWidth="1"/>
    <col min="5" max="5" width="27.5" bestFit="1" customWidth="1"/>
  </cols>
  <sheetData>
    <row r="1" spans="1:5" s="25" customFormat="1" ht="16" x14ac:dyDescent="0.2">
      <c r="A1" s="22" t="s">
        <v>33</v>
      </c>
      <c r="B1" s="22" t="s">
        <v>31</v>
      </c>
      <c r="C1" s="23" t="s">
        <v>34</v>
      </c>
      <c r="D1" s="24" t="s">
        <v>42</v>
      </c>
      <c r="E1" s="24" t="s">
        <v>43</v>
      </c>
    </row>
    <row r="2" spans="1:5" ht="16" x14ac:dyDescent="0.2">
      <c r="A2" s="17" t="s">
        <v>123</v>
      </c>
      <c r="B2" s="26" t="s">
        <v>12</v>
      </c>
      <c r="C2" s="18" t="s">
        <v>22</v>
      </c>
      <c r="D2" s="19" t="s">
        <v>23</v>
      </c>
      <c r="E2" s="19" t="s">
        <v>24</v>
      </c>
    </row>
    <row r="3" spans="1:5" ht="32" x14ac:dyDescent="0.2">
      <c r="A3" s="17" t="s">
        <v>124</v>
      </c>
      <c r="B3" s="26" t="s">
        <v>12</v>
      </c>
      <c r="C3" s="18" t="s">
        <v>125</v>
      </c>
      <c r="D3" s="19" t="s">
        <v>23</v>
      </c>
      <c r="E3" s="19" t="s">
        <v>24</v>
      </c>
    </row>
    <row r="4" spans="1:5" ht="32" x14ac:dyDescent="0.2">
      <c r="A4" s="17" t="s">
        <v>126</v>
      </c>
      <c r="B4" s="26" t="s">
        <v>40</v>
      </c>
      <c r="C4" s="18" t="s">
        <v>127</v>
      </c>
      <c r="D4" s="19" t="s">
        <v>25</v>
      </c>
      <c r="E4" s="19" t="s">
        <v>24</v>
      </c>
    </row>
    <row r="5" spans="1:5" ht="32" x14ac:dyDescent="0.2">
      <c r="A5" s="17" t="s">
        <v>128</v>
      </c>
      <c r="B5" s="26" t="s">
        <v>40</v>
      </c>
      <c r="C5" s="18" t="s">
        <v>129</v>
      </c>
      <c r="D5" s="19" t="s">
        <v>26</v>
      </c>
      <c r="E5" s="19" t="s">
        <v>24</v>
      </c>
    </row>
    <row r="6" spans="1:5" ht="32" x14ac:dyDescent="0.2">
      <c r="A6" s="17" t="s">
        <v>130</v>
      </c>
      <c r="B6" s="26" t="s">
        <v>39</v>
      </c>
      <c r="C6" s="18" t="s">
        <v>131</v>
      </c>
      <c r="D6" s="19" t="s">
        <v>25</v>
      </c>
      <c r="E6" s="19" t="s">
        <v>27</v>
      </c>
    </row>
    <row r="7" spans="1:5" ht="32" x14ac:dyDescent="0.2">
      <c r="A7" s="17" t="s">
        <v>132</v>
      </c>
      <c r="B7" s="26" t="s">
        <v>39</v>
      </c>
      <c r="C7" s="18" t="s">
        <v>131</v>
      </c>
      <c r="D7" s="19" t="s">
        <v>26</v>
      </c>
      <c r="E7" s="19" t="s">
        <v>27</v>
      </c>
    </row>
    <row r="8" spans="1:5" ht="16" x14ac:dyDescent="0.2">
      <c r="A8" s="17" t="s">
        <v>133</v>
      </c>
      <c r="B8" s="26" t="s">
        <v>39</v>
      </c>
      <c r="C8" s="18" t="s">
        <v>134</v>
      </c>
      <c r="D8" s="19" t="s">
        <v>28</v>
      </c>
      <c r="E8" s="19" t="s">
        <v>30</v>
      </c>
    </row>
    <row r="9" spans="1:5" ht="16" x14ac:dyDescent="0.2">
      <c r="A9" s="17" t="s">
        <v>135</v>
      </c>
      <c r="B9" s="26" t="s">
        <v>39</v>
      </c>
      <c r="C9" s="18" t="s">
        <v>136</v>
      </c>
      <c r="D9" s="19" t="s">
        <v>137</v>
      </c>
      <c r="E9" s="19" t="s">
        <v>30</v>
      </c>
    </row>
    <row r="10" spans="1:5" ht="16" x14ac:dyDescent="0.2">
      <c r="A10" s="17" t="s">
        <v>138</v>
      </c>
      <c r="B10" s="26" t="s">
        <v>39</v>
      </c>
      <c r="C10" s="18" t="s">
        <v>139</v>
      </c>
      <c r="D10" s="19" t="s">
        <v>29</v>
      </c>
      <c r="E10" s="19" t="s">
        <v>30</v>
      </c>
    </row>
    <row r="11" spans="1:5" ht="16" x14ac:dyDescent="0.2">
      <c r="A11" s="17" t="s">
        <v>140</v>
      </c>
      <c r="B11" s="26" t="s">
        <v>39</v>
      </c>
      <c r="C11" s="18" t="s">
        <v>141</v>
      </c>
      <c r="D11" s="19" t="s">
        <v>91</v>
      </c>
      <c r="E11" s="19" t="s">
        <v>30</v>
      </c>
    </row>
    <row r="12" spans="1:5" ht="16" x14ac:dyDescent="0.2">
      <c r="A12" s="17" t="s">
        <v>142</v>
      </c>
      <c r="B12" s="26" t="s">
        <v>41</v>
      </c>
      <c r="C12" s="18" t="s">
        <v>35</v>
      </c>
      <c r="D12" s="19" t="s">
        <v>28</v>
      </c>
      <c r="E12" s="19" t="s">
        <v>24</v>
      </c>
    </row>
    <row r="13" spans="1:5" ht="16" x14ac:dyDescent="0.2">
      <c r="A13" s="17" t="s">
        <v>143</v>
      </c>
      <c r="B13" s="26" t="s">
        <v>41</v>
      </c>
      <c r="C13" s="18" t="s">
        <v>36</v>
      </c>
      <c r="D13" s="19">
        <v>7</v>
      </c>
      <c r="E13" s="19">
        <v>4</v>
      </c>
    </row>
    <row r="14" spans="1:5" ht="16" x14ac:dyDescent="0.2">
      <c r="A14" s="17" t="s">
        <v>144</v>
      </c>
      <c r="B14" s="26" t="s">
        <v>41</v>
      </c>
      <c r="C14" s="18" t="s">
        <v>37</v>
      </c>
      <c r="D14" s="19" t="s">
        <v>29</v>
      </c>
      <c r="E14" s="19" t="s">
        <v>24</v>
      </c>
    </row>
    <row r="15" spans="1:5" ht="32" x14ac:dyDescent="0.2">
      <c r="A15" s="17" t="s">
        <v>145</v>
      </c>
      <c r="B15" s="26" t="s">
        <v>41</v>
      </c>
      <c r="C15" s="18" t="s">
        <v>146</v>
      </c>
      <c r="D15" s="19">
        <v>17</v>
      </c>
      <c r="E15" s="19">
        <v>8</v>
      </c>
    </row>
    <row r="16" spans="1:5" ht="16" x14ac:dyDescent="0.2">
      <c r="A16" s="17" t="s">
        <v>147</v>
      </c>
      <c r="B16" s="26" t="s">
        <v>39</v>
      </c>
      <c r="C16" s="18" t="s">
        <v>38</v>
      </c>
      <c r="D16" s="19" t="s">
        <v>44</v>
      </c>
      <c r="E16" s="19" t="s">
        <v>24</v>
      </c>
    </row>
    <row r="17" spans="1:5" ht="32" x14ac:dyDescent="0.2">
      <c r="A17" s="17" t="s">
        <v>148</v>
      </c>
      <c r="B17" s="26" t="s">
        <v>39</v>
      </c>
      <c r="C17" s="18" t="s">
        <v>149</v>
      </c>
      <c r="D17" s="19" t="s">
        <v>32</v>
      </c>
      <c r="E17" s="19" t="s">
        <v>30</v>
      </c>
    </row>
  </sheetData>
  <pageMargins left="0.7" right="0.7" top="0.75" bottom="0.75" header="0.3" footer="0.3"/>
  <pageSetup paperSize="8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e5fd297f-2696-4e28-ab03-30ba2a34a71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scriptIds xmlns="http://schemas.microsoft.com/office/extensibility/maker/v1.0" id="script-ids-node-id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0C8A0DC17FE349A7EA8B82A307E003" ma:contentTypeVersion="5" ma:contentTypeDescription="Create a new document." ma:contentTypeScope="" ma:versionID="23036ad54f52eff314f675af8797717f">
  <xsd:schema xmlns:xsd="http://www.w3.org/2001/XMLSchema" xmlns:xs="http://www.w3.org/2001/XMLSchema" xmlns:p="http://schemas.microsoft.com/office/2006/metadata/properties" xmlns:ns2="e5fd297f-2696-4e28-ab03-30ba2a34a713" targetNamespace="http://schemas.microsoft.com/office/2006/metadata/properties" ma:root="true" ma:fieldsID="fae2bd155029f8e289f387cac5591ea6" ns2:_="">
    <xsd:import namespace="e5fd297f-2696-4e28-ab03-30ba2a34a7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_Flow_Signoff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fd297f-2696-4e28-ab03-30ba2a34a71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Flow_SignoffStatus" ma:index="12" nillable="true" ma:displayName="Sign-off status" ma:internalName="_x0024_Resources_x003a_core_x002c_Signoff_Status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74F8C73-7C77-4339-BBE2-0FA5725149CC}">
  <ds:schemaRefs>
    <ds:schemaRef ds:uri="http://schemas.microsoft.com/office/2006/documentManagement/types"/>
    <ds:schemaRef ds:uri="http://purl.org/dc/dcmitype/"/>
    <ds:schemaRef ds:uri="e5fd297f-2696-4e28-ab03-30ba2a34a713"/>
    <ds:schemaRef ds:uri="http://purl.org/dc/elements/1.1/"/>
    <ds:schemaRef ds:uri="http://www.w3.org/XML/1998/namespace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E077D3F7-FCCF-4736-AF50-EE73298F307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0C1924A-6B66-48EF-92B2-12A90CCD0C89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E38227F1-17B9-468C-AA64-499539C26A7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fd297f-2696-4e28-ab03-30ba2a34a7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HowTo</vt:lpstr>
      <vt:lpstr>Location_1</vt:lpstr>
      <vt:lpstr>DataTypes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Luke Ledesma</dc:creator>
  <cp:lastModifiedBy>Luke Ledesma</cp:lastModifiedBy>
  <dcterms:created xsi:type="dcterms:W3CDTF">2024-11-14T22:34:10Z</dcterms:created>
  <dcterms:modified xsi:type="dcterms:W3CDTF">2026-08-05T03:20:36Z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0x010100D00C8A0DC17FE349A7EA8B82A307E003</vt:lpwstr>
  </property>
</Properties>
</file>